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enChi\数据处理\PEMFC\OM-FeNC-CVD\"/>
    </mc:Choice>
  </mc:AlternateContent>
  <xr:revisionPtr revIDLastSave="0" documentId="13_ncr:1_{85581D01-01EA-47B1-95C5-C069674D4CE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fo" sheetId="4" r:id="rId1"/>
    <sheet name="Channel_Chart" sheetId="6" r:id="rId2"/>
    <sheet name="Channel_1-001" sheetId="5" r:id="rId3"/>
  </sheets>
  <definedNames>
    <definedName name="_xlnm.Print_Titles" localSheetId="2">'Channel_1-001'!$1:$1</definedName>
    <definedName name="_xlnm.Print_Titles" localSheetId="0">Info!$1:$1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68" i="5" l="1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J8" i="5"/>
  <c r="I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微软用户</author>
  </authors>
  <commentList>
    <comment ref="Q3" authorId="0" shapeId="0" xr:uid="{00000000-0006-0000-0000-000001000000}">
      <text>
        <r>
          <rPr>
            <sz val="9"/>
            <color indexed="81"/>
            <rFont val="Tahoma"/>
            <family val="2"/>
          </rPr>
          <t>For Cell Grading setting, click Arbin Data\Options... menu.</t>
        </r>
      </text>
    </comment>
    <comment ref="Q4" authorId="0" shapeId="0" xr:uid="{00000000-0006-0000-0000-000002000000}">
      <text>
        <r>
          <rPr>
            <sz val="9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sharedStrings.xml><?xml version="1.0" encoding="utf-8"?>
<sst xmlns="http://schemas.openxmlformats.org/spreadsheetml/2006/main" count="49" uniqueCount="46">
  <si>
    <t>TEST REPORT</t>
  </si>
  <si>
    <t>C:\ArbinSoftware\MITS_PRO\Data\CC-220818-OMCVD-50N-3-5MV-2.res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</si>
  <si>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</si>
  <si>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</si>
  <si>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</si>
  <si>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</si>
  <si>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</si>
  <si>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</si>
  <si>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</si>
  <si>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</si>
  <si>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</si>
  <si>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</si>
  <si>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</si>
  <si>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</si>
  <si>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</si>
  <si>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</si>
  <si>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</si>
  <si>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</si>
  <si>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</si>
  <si>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</si>
  <si>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</si>
  <si>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</si>
  <si>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</si>
  <si>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</si>
  <si>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</si>
  <si>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</si>
  <si>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</si>
  <si>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</si>
  <si>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CC-220818-OMCVD-50N-3-5MV-2</t>
  </si>
  <si>
    <t>1-001</t>
  </si>
  <si>
    <t>chenchi-2.5-2.5-H2-O2-FAST.sdu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</si>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</sst>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/dd/yy\ hh:mm:ss"/>
    <numFmt numFmtId="177" formatCode="0.000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u/>
      <sz val="14"/>
      <color theme="1"/>
      <name val="Times New Roman"/>
      <family val="1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49" fontId="0" fillId="0" borderId="1" xfId="0" applyNumberFormat="1" applyFill="1" applyBorder="1" applyAlignment="1">
      <alignment horizontal="left" vertical="center"/>
    </xf>
    <xf numFmtId="176" fontId="0" fillId="0" borderId="1" xfId="0" applyNumberFormat="1" applyFill="1" applyBorder="1" applyAlignment="1">
      <alignment horizontal="left" vertical="center"/>
    </xf>
    <xf numFmtId="0" fontId="0" fillId="8" borderId="1" xfId="0" applyFill="1" applyBorder="1">
      <alignment vertical="center"/>
    </xf>
    <xf numFmtId="176" fontId="0" fillId="9" borderId="1" xfId="0" applyNumberFormat="1" applyFill="1" applyBorder="1">
      <alignment vertical="center"/>
    </xf>
    <xf numFmtId="0" fontId="0" fillId="9" borderId="1" xfId="0" applyFill="1" applyBorder="1">
      <alignment vertical="center"/>
    </xf>
    <xf numFmtId="0" fontId="0" fillId="10" borderId="1" xfId="0" applyFill="1" applyBorder="1" applyAlignment="1">
      <alignment horizontal="center" vertical="center" wrapText="1"/>
    </xf>
    <xf numFmtId="176" fontId="0" fillId="10" borderId="1" xfId="0" applyNumberFormat="1" applyFill="1" applyBorder="1" applyAlignment="1">
      <alignment horizontal="center" vertical="center" wrapText="1"/>
    </xf>
    <xf numFmtId="177" fontId="0" fillId="10" borderId="1" xfId="0" applyNumberFormat="1" applyFill="1" applyBorder="1" applyAlignment="1">
      <alignment horizontal="center" vertical="center" wrapText="1"/>
    </xf>
    <xf numFmtId="177" fontId="0" fillId="8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altLang="en-US" b="1"/>
            </a:pPr>
            <a:r>
              <a:rPr lang="en-US"/>
              <a:t>Current(A), Voltage(V) vs. Test_Time(s)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1135045567522811E-3"/>
          <c:y val="1.4945652173913042E-2"/>
          <c:w val="0.97680198840099419"/>
          <c:h val="0.97010869565217406"/>
        </c:manualLayout>
      </c:layout>
      <c:scatterChart>
        <c:scatterStyle val="lineMarker"/>
        <c:varyColors val="0"/>
        <c:ser>
          <c:idx val="0"/>
          <c:order val="0"/>
          <c:smooth val="0"/>
          <c:extLst>
            <c:ext xmlns:c16="http://schemas.microsoft.com/office/drawing/2014/chart" uri="{C3380CC4-5D6E-409C-BE32-E72D297353CC}">
              <c16:uniqueId val="{00000000-2311-459C-888F-465C6FD354ED}"/>
            </c:ext>
          </c:extLst>
        </c:ser>
        <c:ser>
          <c:idx val="1"/>
          <c:order val="1"/>
          <c:tx>
            <c:v>1-001 Current(A) </c:v>
          </c:tx>
          <c:marker>
            <c:symbol val="none"/>
          </c:marker>
          <c:xVal>
            <c:numRef>
              <c:f>'Channel_1-001'!$B$2:$B$168</c:f>
              <c:numCache>
                <c:formatCode>0.000</c:formatCode>
                <c:ptCount val="167"/>
                <c:pt idx="0">
                  <c:v>5.0124447318580359</c:v>
                </c:pt>
                <c:pt idx="1">
                  <c:v>10.02631820085854</c:v>
                </c:pt>
                <c:pt idx="2">
                  <c:v>15.027359716230295</c:v>
                </c:pt>
                <c:pt idx="3">
                  <c:v>20.03942295183505</c:v>
                </c:pt>
                <c:pt idx="4">
                  <c:v>25.048330033546833</c:v>
                </c:pt>
                <c:pt idx="5">
                  <c:v>30.010422308824214</c:v>
                </c:pt>
                <c:pt idx="6">
                  <c:v>31.024093476447401</c:v>
                </c:pt>
                <c:pt idx="7">
                  <c:v>32.027252362420384</c:v>
                </c:pt>
                <c:pt idx="8">
                  <c:v>33.032043673181505</c:v>
                </c:pt>
                <c:pt idx="9">
                  <c:v>34.035035768730914</c:v>
                </c:pt>
                <c:pt idx="10">
                  <c:v>35.027286610982024</c:v>
                </c:pt>
                <c:pt idx="11">
                  <c:v>36.033134864720694</c:v>
                </c:pt>
                <c:pt idx="12">
                  <c:v>37.034193036794107</c:v>
                </c:pt>
                <c:pt idx="13">
                  <c:v>38.040026426456535</c:v>
                </c:pt>
                <c:pt idx="14">
                  <c:v>39.045908461177689</c:v>
                </c:pt>
                <c:pt idx="15">
                  <c:v>40.039176157759634</c:v>
                </c:pt>
                <c:pt idx="16">
                  <c:v>41.046977319905054</c:v>
                </c:pt>
                <c:pt idx="17">
                  <c:v>42.053848304220026</c:v>
                </c:pt>
                <c:pt idx="18">
                  <c:v>43.06362353505591</c:v>
                </c:pt>
                <c:pt idx="19">
                  <c:v>44.07134481670969</c:v>
                </c:pt>
                <c:pt idx="20">
                  <c:v>45.046162984272016</c:v>
                </c:pt>
                <c:pt idx="21">
                  <c:v>46.060798200572123</c:v>
                </c:pt>
                <c:pt idx="22">
                  <c:v>47.060833130811176</c:v>
                </c:pt>
                <c:pt idx="23">
                  <c:v>48.066657321766776</c:v>
                </c:pt>
                <c:pt idx="24">
                  <c:v>49.074570949228637</c:v>
                </c:pt>
                <c:pt idx="25">
                  <c:v>50.053126879356697</c:v>
                </c:pt>
                <c:pt idx="26">
                  <c:v>51.059989010815904</c:v>
                </c:pt>
                <c:pt idx="27">
                  <c:v>52.062957054680986</c:v>
                </c:pt>
                <c:pt idx="28">
                  <c:v>53.067834012265898</c:v>
                </c:pt>
                <c:pt idx="29">
                  <c:v>54.074749269452333</c:v>
                </c:pt>
                <c:pt idx="30">
                  <c:v>55.061996263305062</c:v>
                </c:pt>
                <c:pt idx="31">
                  <c:v>56.070823952511709</c:v>
                </c:pt>
                <c:pt idx="32">
                  <c:v>57.07287426202334</c:v>
                </c:pt>
                <c:pt idx="33">
                  <c:v>58.075869470590128</c:v>
                </c:pt>
                <c:pt idx="34">
                  <c:v>59.078837623652483</c:v>
                </c:pt>
                <c:pt idx="35">
                  <c:v>60.066169227133912</c:v>
                </c:pt>
                <c:pt idx="36">
                  <c:v>61.085719809817725</c:v>
                </c:pt>
                <c:pt idx="37">
                  <c:v>62.089591863191927</c:v>
                </c:pt>
                <c:pt idx="38">
                  <c:v>63.090702228698483</c:v>
                </c:pt>
                <c:pt idx="39">
                  <c:v>64.095639428092696</c:v>
                </c:pt>
                <c:pt idx="40">
                  <c:v>65.071229249832626</c:v>
                </c:pt>
                <c:pt idx="41">
                  <c:v>66.075200299307937</c:v>
                </c:pt>
                <c:pt idx="42">
                  <c:v>67.07706574033962</c:v>
                </c:pt>
                <c:pt idx="43">
                  <c:v>68.080124694337144</c:v>
                </c:pt>
                <c:pt idx="44">
                  <c:v>69.085995454887211</c:v>
                </c:pt>
                <c:pt idx="45">
                  <c:v>70.076183975926469</c:v>
                </c:pt>
                <c:pt idx="46">
                  <c:v>71.085075549835139</c:v>
                </c:pt>
                <c:pt idx="47">
                  <c:v>72.088081746511946</c:v>
                </c:pt>
                <c:pt idx="48">
                  <c:v>73.089095671849662</c:v>
                </c:pt>
                <c:pt idx="49">
                  <c:v>74.099883317878636</c:v>
                </c:pt>
                <c:pt idx="50">
                  <c:v>75.091119989187675</c:v>
                </c:pt>
                <c:pt idx="51">
                  <c:v>76.109708147548787</c:v>
                </c:pt>
                <c:pt idx="52">
                  <c:v>77.112694559111517</c:v>
                </c:pt>
                <c:pt idx="53">
                  <c:v>78.116611471800255</c:v>
                </c:pt>
                <c:pt idx="54">
                  <c:v>79.120620561309792</c:v>
                </c:pt>
                <c:pt idx="55">
                  <c:v>80.095178130471041</c:v>
                </c:pt>
                <c:pt idx="56">
                  <c:v>81.104987578004454</c:v>
                </c:pt>
                <c:pt idx="57">
                  <c:v>82.109903958669733</c:v>
                </c:pt>
                <c:pt idx="58">
                  <c:v>83.115842739097275</c:v>
                </c:pt>
                <c:pt idx="59">
                  <c:v>84.121704297002253</c:v>
                </c:pt>
                <c:pt idx="60">
                  <c:v>85.110070837167186</c:v>
                </c:pt>
                <c:pt idx="61">
                  <c:v>86.115945007536396</c:v>
                </c:pt>
                <c:pt idx="62">
                  <c:v>87.118899638395916</c:v>
                </c:pt>
                <c:pt idx="63">
                  <c:v>88.123797685375806</c:v>
                </c:pt>
                <c:pt idx="64">
                  <c:v>89.12579677885941</c:v>
                </c:pt>
                <c:pt idx="65">
                  <c:v>90.116119467546937</c:v>
                </c:pt>
                <c:pt idx="66">
                  <c:v>91.120939675487179</c:v>
                </c:pt>
                <c:pt idx="67">
                  <c:v>92.123001589983915</c:v>
                </c:pt>
                <c:pt idx="68">
                  <c:v>93.132804327076272</c:v>
                </c:pt>
                <c:pt idx="69">
                  <c:v>94.138663118172929</c:v>
                </c:pt>
                <c:pt idx="70">
                  <c:v>95.127941491026121</c:v>
                </c:pt>
                <c:pt idx="71">
                  <c:v>96.136725576507899</c:v>
                </c:pt>
                <c:pt idx="72">
                  <c:v>97.140726140037458</c:v>
                </c:pt>
                <c:pt idx="73">
                  <c:v>98.142687265091595</c:v>
                </c:pt>
                <c:pt idx="74">
                  <c:v>99.146642225333053</c:v>
                </c:pt>
                <c:pt idx="75">
                  <c:v>100.13692528758268</c:v>
                </c:pt>
                <c:pt idx="76">
                  <c:v>101.1428060101464</c:v>
                </c:pt>
                <c:pt idx="77">
                  <c:v>102.14870583722087</c:v>
                </c:pt>
                <c:pt idx="78">
                  <c:v>103.15272080261786</c:v>
                </c:pt>
                <c:pt idx="79">
                  <c:v>104.15661303958667</c:v>
                </c:pt>
                <c:pt idx="80">
                  <c:v>105.14791774581022</c:v>
                </c:pt>
                <c:pt idx="81">
                  <c:v>106.16647875486464</c:v>
                </c:pt>
                <c:pt idx="82">
                  <c:v>107.17234208713585</c:v>
                </c:pt>
                <c:pt idx="83">
                  <c:v>108.17822485831206</c:v>
                </c:pt>
                <c:pt idx="84">
                  <c:v>109.18418173577123</c:v>
                </c:pt>
                <c:pt idx="85">
                  <c:v>110.15870511437072</c:v>
                </c:pt>
                <c:pt idx="86">
                  <c:v>111.16955402472512</c:v>
                </c:pt>
                <c:pt idx="87">
                  <c:v>112.17445843235676</c:v>
                </c:pt>
                <c:pt idx="88">
                  <c:v>113.17938877129797</c:v>
                </c:pt>
                <c:pt idx="89">
                  <c:v>114.19015833139404</c:v>
                </c:pt>
                <c:pt idx="90">
                  <c:v>115.16191243560046</c:v>
                </c:pt>
                <c:pt idx="91">
                  <c:v>116.16681999742222</c:v>
                </c:pt>
                <c:pt idx="92">
                  <c:v>117.17266900694923</c:v>
                </c:pt>
                <c:pt idx="93">
                  <c:v>118.17664178567976</c:v>
                </c:pt>
                <c:pt idx="94">
                  <c:v>119.17861236148951</c:v>
                </c:pt>
                <c:pt idx="95">
                  <c:v>120.16986408125707</c:v>
                </c:pt>
                <c:pt idx="96">
                  <c:v>121.17573652988962</c:v>
                </c:pt>
                <c:pt idx="97">
                  <c:v>122.1787151787792</c:v>
                </c:pt>
                <c:pt idx="98">
                  <c:v>123.18462239654004</c:v>
                </c:pt>
                <c:pt idx="99">
                  <c:v>124.18954033353501</c:v>
                </c:pt>
                <c:pt idx="100">
                  <c:v>125.17783867337842</c:v>
                </c:pt>
                <c:pt idx="101">
                  <c:v>126.18475923110798</c:v>
                </c:pt>
                <c:pt idx="102">
                  <c:v>127.18870310872111</c:v>
                </c:pt>
                <c:pt idx="103">
                  <c:v>128.19846211105184</c:v>
                </c:pt>
                <c:pt idx="104">
                  <c:v>129.20435025437595</c:v>
                </c:pt>
                <c:pt idx="105">
                  <c:v>130.194624271869</c:v>
                </c:pt>
                <c:pt idx="106">
                  <c:v>131.19952581889004</c:v>
                </c:pt>
                <c:pt idx="107">
                  <c:v>132.20347463257804</c:v>
                </c:pt>
                <c:pt idx="108">
                  <c:v>133.20843009834914</c:v>
                </c:pt>
                <c:pt idx="109">
                  <c:v>134.2151973309322</c:v>
                </c:pt>
                <c:pt idx="110">
                  <c:v>135.20260976223636</c:v>
                </c:pt>
                <c:pt idx="111">
                  <c:v>136.21142585791463</c:v>
                </c:pt>
                <c:pt idx="112">
                  <c:v>137.21733802284908</c:v>
                </c:pt>
                <c:pt idx="113">
                  <c:v>138.22128396804993</c:v>
                </c:pt>
                <c:pt idx="114">
                  <c:v>139.23598458385098</c:v>
                </c:pt>
                <c:pt idx="115">
                  <c:v>140.21637330287746</c:v>
                </c:pt>
                <c:pt idx="116">
                  <c:v>141.21946869904875</c:v>
                </c:pt>
                <c:pt idx="117">
                  <c:v>142.22335592511573</c:v>
                </c:pt>
                <c:pt idx="118">
                  <c:v>143.22835126901555</c:v>
                </c:pt>
                <c:pt idx="119">
                  <c:v>144.23321915176987</c:v>
                </c:pt>
                <c:pt idx="120">
                  <c:v>145.2234853689973</c:v>
                </c:pt>
                <c:pt idx="121">
                  <c:v>146.23432960642438</c:v>
                </c:pt>
                <c:pt idx="122">
                  <c:v>147.23623991035083</c:v>
                </c:pt>
                <c:pt idx="123">
                  <c:v>148.24217950277648</c:v>
                </c:pt>
                <c:pt idx="124">
                  <c:v>149.24804619187933</c:v>
                </c:pt>
                <c:pt idx="125">
                  <c:v>150.23733597387857</c:v>
                </c:pt>
                <c:pt idx="126">
                  <c:v>151.24527506292267</c:v>
                </c:pt>
                <c:pt idx="127">
                  <c:v>152.24912028670553</c:v>
                </c:pt>
                <c:pt idx="128">
                  <c:v>153.25296693506522</c:v>
                </c:pt>
                <c:pt idx="129">
                  <c:v>154.25606268460606</c:v>
                </c:pt>
                <c:pt idx="130">
                  <c:v>155.25215196966823</c:v>
                </c:pt>
                <c:pt idx="131">
                  <c:v>156.25999403603868</c:v>
                </c:pt>
                <c:pt idx="132">
                  <c:v>157.26590986606328</c:v>
                </c:pt>
                <c:pt idx="133">
                  <c:v>158.26984780441873</c:v>
                </c:pt>
                <c:pt idx="134">
                  <c:v>159.27283455431399</c:v>
                </c:pt>
                <c:pt idx="135">
                  <c:v>160.2660496593403</c:v>
                </c:pt>
                <c:pt idx="136">
                  <c:v>161.27386079065988</c:v>
                </c:pt>
                <c:pt idx="137">
                  <c:v>162.27783056234807</c:v>
                </c:pt>
                <c:pt idx="138">
                  <c:v>163.28464979682147</c:v>
                </c:pt>
                <c:pt idx="139">
                  <c:v>164.28761761513152</c:v>
                </c:pt>
                <c:pt idx="140">
                  <c:v>165.27402672862866</c:v>
                </c:pt>
                <c:pt idx="141">
                  <c:v>166.27794324283684</c:v>
                </c:pt>
                <c:pt idx="142">
                  <c:v>167.28188905306271</c:v>
                </c:pt>
                <c:pt idx="143">
                  <c:v>168.28385633934931</c:v>
                </c:pt>
                <c:pt idx="144">
                  <c:v>169.2878494821185</c:v>
                </c:pt>
                <c:pt idx="145">
                  <c:v>170.27710517165454</c:v>
                </c:pt>
                <c:pt idx="146">
                  <c:v>171.28010817654874</c:v>
                </c:pt>
                <c:pt idx="147">
                  <c:v>172.2840500807344</c:v>
                </c:pt>
                <c:pt idx="148">
                  <c:v>173.29189071858968</c:v>
                </c:pt>
                <c:pt idx="149">
                  <c:v>174.30165423202092</c:v>
                </c:pt>
                <c:pt idx="150">
                  <c:v>175.29485901378749</c:v>
                </c:pt>
                <c:pt idx="151">
                  <c:v>176.30169754073415</c:v>
                </c:pt>
                <c:pt idx="152">
                  <c:v>177.30285297571524</c:v>
                </c:pt>
                <c:pt idx="153">
                  <c:v>178.31057922709812</c:v>
                </c:pt>
                <c:pt idx="154">
                  <c:v>179.3164768551901</c:v>
                </c:pt>
                <c:pt idx="155">
                  <c:v>180.30380836844947</c:v>
                </c:pt>
                <c:pt idx="156">
                  <c:v>181.31263526821357</c:v>
                </c:pt>
                <c:pt idx="157">
                  <c:v>182.31555103594201</c:v>
                </c:pt>
                <c:pt idx="158">
                  <c:v>183.32054971447599</c:v>
                </c:pt>
                <c:pt idx="159">
                  <c:v>184.32740457160656</c:v>
                </c:pt>
                <c:pt idx="160">
                  <c:v>185.3215943335565</c:v>
                </c:pt>
                <c:pt idx="161">
                  <c:v>186.32551644510957</c:v>
                </c:pt>
                <c:pt idx="162">
                  <c:v>187.32752435027621</c:v>
                </c:pt>
                <c:pt idx="163">
                  <c:v>188.3334241999062</c:v>
                </c:pt>
                <c:pt idx="164">
                  <c:v>189.33638085360047</c:v>
                </c:pt>
                <c:pt idx="165">
                  <c:v>190.32753678372853</c:v>
                </c:pt>
                <c:pt idx="166">
                  <c:v>191.33257440057855</c:v>
                </c:pt>
              </c:numCache>
            </c:numRef>
          </c:xVal>
          <c:yVal>
            <c:numRef>
              <c:f>'Channel_1-001'!$G$2:$G$168</c:f>
              <c:numCache>
                <c:formatCode>General</c:formatCode>
                <c:ptCount val="1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-0.27518153190612793</c:v>
                </c:pt>
                <c:pt idx="7">
                  <c:v>-0.27511316537857056</c:v>
                </c:pt>
                <c:pt idx="8">
                  <c:v>-0.27511316537857056</c:v>
                </c:pt>
                <c:pt idx="9">
                  <c:v>-0.27518153190612793</c:v>
                </c:pt>
                <c:pt idx="10">
                  <c:v>-0.27518153190612793</c:v>
                </c:pt>
                <c:pt idx="11">
                  <c:v>-0.62526154518127441</c:v>
                </c:pt>
                <c:pt idx="12">
                  <c:v>-0.62526154518127441</c:v>
                </c:pt>
                <c:pt idx="13">
                  <c:v>-0.62522739171981812</c:v>
                </c:pt>
                <c:pt idx="14">
                  <c:v>-0.62519323825836182</c:v>
                </c:pt>
                <c:pt idx="15">
                  <c:v>-0.62515902519226074</c:v>
                </c:pt>
                <c:pt idx="16">
                  <c:v>-0.93775004148483276</c:v>
                </c:pt>
                <c:pt idx="17">
                  <c:v>-0.93775004148483276</c:v>
                </c:pt>
                <c:pt idx="18">
                  <c:v>-0.93775004148483276</c:v>
                </c:pt>
                <c:pt idx="19">
                  <c:v>-0.93771582841873169</c:v>
                </c:pt>
                <c:pt idx="20">
                  <c:v>-0.93771582841873169</c:v>
                </c:pt>
                <c:pt idx="21">
                  <c:v>-1.2505804300308228</c:v>
                </c:pt>
                <c:pt idx="22">
                  <c:v>-1.2509503364562988</c:v>
                </c:pt>
                <c:pt idx="23">
                  <c:v>-1.2505804300308228</c:v>
                </c:pt>
                <c:pt idx="24">
                  <c:v>-1.2505804300308228</c:v>
                </c:pt>
                <c:pt idx="25">
                  <c:v>-1.2509503364562988</c:v>
                </c:pt>
                <c:pt idx="26">
                  <c:v>-1.5627506971359253</c:v>
                </c:pt>
                <c:pt idx="27">
                  <c:v>-1.5634903907775879</c:v>
                </c:pt>
                <c:pt idx="28">
                  <c:v>-1.5631206035614014</c:v>
                </c:pt>
                <c:pt idx="29">
                  <c:v>-1.5634903907775879</c:v>
                </c:pt>
                <c:pt idx="30">
                  <c:v>-1.5631206035614014</c:v>
                </c:pt>
                <c:pt idx="31">
                  <c:v>-1.8756606578826904</c:v>
                </c:pt>
                <c:pt idx="32">
                  <c:v>-1.8760305643081665</c:v>
                </c:pt>
                <c:pt idx="33">
                  <c:v>-1.8756606578826904</c:v>
                </c:pt>
                <c:pt idx="34">
                  <c:v>-1.8760305643081665</c:v>
                </c:pt>
                <c:pt idx="35">
                  <c:v>-1.8760305643081665</c:v>
                </c:pt>
                <c:pt idx="36">
                  <c:v>-2.1885707378387451</c:v>
                </c:pt>
                <c:pt idx="37">
                  <c:v>-2.1882007122039795</c:v>
                </c:pt>
                <c:pt idx="38">
                  <c:v>-2.1885707378387451</c:v>
                </c:pt>
                <c:pt idx="39">
                  <c:v>-2.1882007122039795</c:v>
                </c:pt>
                <c:pt idx="40">
                  <c:v>-2.1885707378387451</c:v>
                </c:pt>
                <c:pt idx="41">
                  <c:v>-2.5007410049438477</c:v>
                </c:pt>
                <c:pt idx="42">
                  <c:v>-2.5011107921600342</c:v>
                </c:pt>
                <c:pt idx="43">
                  <c:v>-2.5011107921600342</c:v>
                </c:pt>
                <c:pt idx="44">
                  <c:v>-2.5011107921600342</c:v>
                </c:pt>
                <c:pt idx="45">
                  <c:v>-2.5011107921600342</c:v>
                </c:pt>
                <c:pt idx="46">
                  <c:v>-2.8136510848999023</c:v>
                </c:pt>
                <c:pt idx="47">
                  <c:v>-2.8136510848999023</c:v>
                </c:pt>
                <c:pt idx="48">
                  <c:v>-2.8132810592651367</c:v>
                </c:pt>
                <c:pt idx="49">
                  <c:v>-2.8140208721160889</c:v>
                </c:pt>
                <c:pt idx="50">
                  <c:v>-2.8136510848999023</c:v>
                </c:pt>
                <c:pt idx="51">
                  <c:v>-3.1258213520050049</c:v>
                </c:pt>
                <c:pt idx="52">
                  <c:v>-3.1261911392211914</c:v>
                </c:pt>
                <c:pt idx="53">
                  <c:v>-3.1258213520050049</c:v>
                </c:pt>
                <c:pt idx="54">
                  <c:v>-3.1261911392211914</c:v>
                </c:pt>
                <c:pt idx="55">
                  <c:v>-3.1265609264373779</c:v>
                </c:pt>
                <c:pt idx="56">
                  <c:v>-3.4391012191772461</c:v>
                </c:pt>
                <c:pt idx="57">
                  <c:v>-3.4391012191772461</c:v>
                </c:pt>
                <c:pt idx="58">
                  <c:v>-3.4394710063934326</c:v>
                </c:pt>
                <c:pt idx="59">
                  <c:v>-3.4391012191772461</c:v>
                </c:pt>
                <c:pt idx="60">
                  <c:v>-3.4391012191772461</c:v>
                </c:pt>
                <c:pt idx="61">
                  <c:v>-3.7516412734985352</c:v>
                </c:pt>
                <c:pt idx="62">
                  <c:v>-3.7516412734985352</c:v>
                </c:pt>
                <c:pt idx="63">
                  <c:v>-3.7516412734985352</c:v>
                </c:pt>
                <c:pt idx="64">
                  <c:v>-3.7516412734985352</c:v>
                </c:pt>
                <c:pt idx="65">
                  <c:v>-3.7512714862823486</c:v>
                </c:pt>
                <c:pt idx="66">
                  <c:v>-4.0649213790893555</c:v>
                </c:pt>
                <c:pt idx="67">
                  <c:v>-4.0645513534545898</c:v>
                </c:pt>
                <c:pt idx="68">
                  <c:v>-4.0638117790222168</c:v>
                </c:pt>
                <c:pt idx="69">
                  <c:v>-4.0645513534545898</c:v>
                </c:pt>
                <c:pt idx="70">
                  <c:v>-4.0641818046569824</c:v>
                </c:pt>
                <c:pt idx="71">
                  <c:v>-4.3770918846130371</c:v>
                </c:pt>
                <c:pt idx="72">
                  <c:v>-4.3770918846130371</c:v>
                </c:pt>
                <c:pt idx="73">
                  <c:v>-4.3770918846130371</c:v>
                </c:pt>
                <c:pt idx="74">
                  <c:v>-4.3774614334106445</c:v>
                </c:pt>
                <c:pt idx="75">
                  <c:v>-4.3767218589782715</c:v>
                </c:pt>
                <c:pt idx="76">
                  <c:v>-4.6896319389343262</c:v>
                </c:pt>
                <c:pt idx="77">
                  <c:v>-4.6896319389343262</c:v>
                </c:pt>
                <c:pt idx="78">
                  <c:v>-4.6888918876647949</c:v>
                </c:pt>
                <c:pt idx="79">
                  <c:v>-4.6900014877319336</c:v>
                </c:pt>
                <c:pt idx="80">
                  <c:v>-4.6888918876647949</c:v>
                </c:pt>
                <c:pt idx="81">
                  <c:v>-5.0021719932556152</c:v>
                </c:pt>
                <c:pt idx="82">
                  <c:v>-5.0018019676208496</c:v>
                </c:pt>
                <c:pt idx="83">
                  <c:v>-5.0021719932556152</c:v>
                </c:pt>
                <c:pt idx="84">
                  <c:v>-5.0025420188903809</c:v>
                </c:pt>
                <c:pt idx="85">
                  <c:v>-5.0021719932556152</c:v>
                </c:pt>
                <c:pt idx="86">
                  <c:v>-5.3143420219421387</c:v>
                </c:pt>
                <c:pt idx="87">
                  <c:v>-5.3147120475769043</c:v>
                </c:pt>
                <c:pt idx="88">
                  <c:v>-5.3147120475769043</c:v>
                </c:pt>
                <c:pt idx="89">
                  <c:v>-5.3147120475769043</c:v>
                </c:pt>
                <c:pt idx="90">
                  <c:v>-5.3147120475769043</c:v>
                </c:pt>
                <c:pt idx="91">
                  <c:v>-5.627622127532959</c:v>
                </c:pt>
                <c:pt idx="92">
                  <c:v>-5.6272521018981934</c:v>
                </c:pt>
                <c:pt idx="93">
                  <c:v>-5.6268825531005859</c:v>
                </c:pt>
                <c:pt idx="94">
                  <c:v>-5.627622127532959</c:v>
                </c:pt>
                <c:pt idx="95">
                  <c:v>-5.6272521018981934</c:v>
                </c:pt>
                <c:pt idx="96">
                  <c:v>-5.939422607421875</c:v>
                </c:pt>
                <c:pt idx="97">
                  <c:v>-5.939422607421875</c:v>
                </c:pt>
                <c:pt idx="98">
                  <c:v>-5.9397921562194824</c:v>
                </c:pt>
                <c:pt idx="99">
                  <c:v>-5.939422607421875</c:v>
                </c:pt>
                <c:pt idx="100">
                  <c:v>-5.9397921562194824</c:v>
                </c:pt>
                <c:pt idx="101">
                  <c:v>-6.2527022361755371</c:v>
                </c:pt>
                <c:pt idx="102">
                  <c:v>-6.2519626617431641</c:v>
                </c:pt>
                <c:pt idx="103">
                  <c:v>-6.2527022361755371</c:v>
                </c:pt>
                <c:pt idx="104">
                  <c:v>-6.2527022361755371</c:v>
                </c:pt>
                <c:pt idx="105">
                  <c:v>-6.2523326873779297</c:v>
                </c:pt>
                <c:pt idx="106">
                  <c:v>-7.5028629302978516</c:v>
                </c:pt>
                <c:pt idx="107">
                  <c:v>-7.5021233558654785</c:v>
                </c:pt>
                <c:pt idx="108">
                  <c:v>-7.5024929046630859</c:v>
                </c:pt>
                <c:pt idx="109">
                  <c:v>-7.5028629302978516</c:v>
                </c:pt>
                <c:pt idx="110">
                  <c:v>-7.5024929046630859</c:v>
                </c:pt>
                <c:pt idx="111">
                  <c:v>-8.7526531219482422</c:v>
                </c:pt>
                <c:pt idx="112">
                  <c:v>-8.7530231475830078</c:v>
                </c:pt>
                <c:pt idx="113">
                  <c:v>-8.7526531219482422</c:v>
                </c:pt>
                <c:pt idx="114">
                  <c:v>-8.7526531219482422</c:v>
                </c:pt>
                <c:pt idx="115">
                  <c:v>-8.7526531219482422</c:v>
                </c:pt>
                <c:pt idx="116">
                  <c:v>-10.003183364868164</c:v>
                </c:pt>
                <c:pt idx="117">
                  <c:v>-10.003183364868164</c:v>
                </c:pt>
                <c:pt idx="118">
                  <c:v>-10.00355339050293</c:v>
                </c:pt>
                <c:pt idx="119">
                  <c:v>-10.002813339233398</c:v>
                </c:pt>
                <c:pt idx="120">
                  <c:v>-10.003183364868164</c:v>
                </c:pt>
                <c:pt idx="121">
                  <c:v>-11.258390426635742</c:v>
                </c:pt>
                <c:pt idx="122">
                  <c:v>-11.26026725769043</c:v>
                </c:pt>
                <c:pt idx="123">
                  <c:v>-11.26026725769043</c:v>
                </c:pt>
                <c:pt idx="124">
                  <c:v>-11.258390426635742</c:v>
                </c:pt>
                <c:pt idx="125">
                  <c:v>-11.256514549255371</c:v>
                </c:pt>
                <c:pt idx="126">
                  <c:v>-12.507847785949707</c:v>
                </c:pt>
                <c:pt idx="127">
                  <c:v>-12.507847785949707</c:v>
                </c:pt>
                <c:pt idx="128">
                  <c:v>-12.507847785949707</c:v>
                </c:pt>
                <c:pt idx="129">
                  <c:v>-12.509724617004395</c:v>
                </c:pt>
                <c:pt idx="130">
                  <c:v>-12.507847785949707</c:v>
                </c:pt>
                <c:pt idx="131">
                  <c:v>-13.757305145263672</c:v>
                </c:pt>
                <c:pt idx="132">
                  <c:v>-13.759181976318359</c:v>
                </c:pt>
                <c:pt idx="133">
                  <c:v>-13.757305145263672</c:v>
                </c:pt>
                <c:pt idx="134">
                  <c:v>-13.755429267883301</c:v>
                </c:pt>
                <c:pt idx="135">
                  <c:v>-13.76105785369873</c:v>
                </c:pt>
                <c:pt idx="136">
                  <c:v>-15.008639335632324</c:v>
                </c:pt>
                <c:pt idx="137">
                  <c:v>-15.006762504577637</c:v>
                </c:pt>
                <c:pt idx="138">
                  <c:v>-15.006762504577637</c:v>
                </c:pt>
                <c:pt idx="139">
                  <c:v>-15.010515213012695</c:v>
                </c:pt>
                <c:pt idx="140">
                  <c:v>-15.006762504577637</c:v>
                </c:pt>
                <c:pt idx="141">
                  <c:v>-16.254344940185547</c:v>
                </c:pt>
                <c:pt idx="142">
                  <c:v>-16.258096694946289</c:v>
                </c:pt>
                <c:pt idx="143">
                  <c:v>-16.261848449707031</c:v>
                </c:pt>
                <c:pt idx="144">
                  <c:v>-16.261848449707031</c:v>
                </c:pt>
                <c:pt idx="145">
                  <c:v>-16.259971618652344</c:v>
                </c:pt>
                <c:pt idx="146">
                  <c:v>-17.509429931640625</c:v>
                </c:pt>
                <c:pt idx="147">
                  <c:v>-17.509429931640625</c:v>
                </c:pt>
                <c:pt idx="148">
                  <c:v>-17.507553100585938</c:v>
                </c:pt>
                <c:pt idx="149">
                  <c:v>-17.509429931640625</c:v>
                </c:pt>
                <c:pt idx="150">
                  <c:v>-17.505678176879883</c:v>
                </c:pt>
                <c:pt idx="151">
                  <c:v>-18.758886337280273</c:v>
                </c:pt>
                <c:pt idx="152">
                  <c:v>-18.760763168334961</c:v>
                </c:pt>
                <c:pt idx="153">
                  <c:v>-18.758886337280273</c:v>
                </c:pt>
                <c:pt idx="154">
                  <c:v>-18.757011413574219</c:v>
                </c:pt>
                <c:pt idx="155">
                  <c:v>-18.758886337280273</c:v>
                </c:pt>
                <c:pt idx="156">
                  <c:v>-20.012096405029297</c:v>
                </c:pt>
                <c:pt idx="157">
                  <c:v>-20.008344650268555</c:v>
                </c:pt>
                <c:pt idx="158">
                  <c:v>-20.010221481323242</c:v>
                </c:pt>
                <c:pt idx="159">
                  <c:v>-20.012096405029297</c:v>
                </c:pt>
                <c:pt idx="160">
                  <c:v>-20.010221481323242</c:v>
                </c:pt>
                <c:pt idx="161">
                  <c:v>-21.259677886962891</c:v>
                </c:pt>
                <c:pt idx="162">
                  <c:v>-21.255926132202148</c:v>
                </c:pt>
                <c:pt idx="163">
                  <c:v>-21.261554718017578</c:v>
                </c:pt>
                <c:pt idx="164">
                  <c:v>-21.257801055908203</c:v>
                </c:pt>
                <c:pt idx="165">
                  <c:v>-21.261554718017578</c:v>
                </c:pt>
                <c:pt idx="166">
                  <c:v>-22.511011123657227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11-459C-888F-465C6FD35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63936"/>
        <c:axId val="260636032"/>
      </c:scatterChart>
      <c:scatterChart>
        <c:scatterStyle val="lineMarker"/>
        <c:varyColors val="0"/>
        <c:ser>
          <c:idx val="2"/>
          <c:order val="2"/>
          <c:tx>
            <c:v>1-001 Voltage(V) </c:v>
          </c:tx>
          <c:marker>
            <c:symbol val="none"/>
          </c:marker>
          <c:xVal>
            <c:numRef>
              <c:f>'Channel_1-001'!$B$2:$B$168</c:f>
              <c:numCache>
                <c:formatCode>0.000</c:formatCode>
                <c:ptCount val="167"/>
                <c:pt idx="0">
                  <c:v>5.0124447318580359</c:v>
                </c:pt>
                <c:pt idx="1">
                  <c:v>10.02631820085854</c:v>
                </c:pt>
                <c:pt idx="2">
                  <c:v>15.027359716230295</c:v>
                </c:pt>
                <c:pt idx="3">
                  <c:v>20.03942295183505</c:v>
                </c:pt>
                <c:pt idx="4">
                  <c:v>25.048330033546833</c:v>
                </c:pt>
                <c:pt idx="5">
                  <c:v>30.010422308824214</c:v>
                </c:pt>
                <c:pt idx="6">
                  <c:v>31.024093476447401</c:v>
                </c:pt>
                <c:pt idx="7">
                  <c:v>32.027252362420384</c:v>
                </c:pt>
                <c:pt idx="8">
                  <c:v>33.032043673181505</c:v>
                </c:pt>
                <c:pt idx="9">
                  <c:v>34.035035768730914</c:v>
                </c:pt>
                <c:pt idx="10">
                  <c:v>35.027286610982024</c:v>
                </c:pt>
                <c:pt idx="11">
                  <c:v>36.033134864720694</c:v>
                </c:pt>
                <c:pt idx="12">
                  <c:v>37.034193036794107</c:v>
                </c:pt>
                <c:pt idx="13">
                  <c:v>38.040026426456535</c:v>
                </c:pt>
                <c:pt idx="14">
                  <c:v>39.045908461177689</c:v>
                </c:pt>
                <c:pt idx="15">
                  <c:v>40.039176157759634</c:v>
                </c:pt>
                <c:pt idx="16">
                  <c:v>41.046977319905054</c:v>
                </c:pt>
                <c:pt idx="17">
                  <c:v>42.053848304220026</c:v>
                </c:pt>
                <c:pt idx="18">
                  <c:v>43.06362353505591</c:v>
                </c:pt>
                <c:pt idx="19">
                  <c:v>44.07134481670969</c:v>
                </c:pt>
                <c:pt idx="20">
                  <c:v>45.046162984272016</c:v>
                </c:pt>
                <c:pt idx="21">
                  <c:v>46.060798200572123</c:v>
                </c:pt>
                <c:pt idx="22">
                  <c:v>47.060833130811176</c:v>
                </c:pt>
                <c:pt idx="23">
                  <c:v>48.066657321766776</c:v>
                </c:pt>
                <c:pt idx="24">
                  <c:v>49.074570949228637</c:v>
                </c:pt>
                <c:pt idx="25">
                  <c:v>50.053126879356697</c:v>
                </c:pt>
                <c:pt idx="26">
                  <c:v>51.059989010815904</c:v>
                </c:pt>
                <c:pt idx="27">
                  <c:v>52.062957054680986</c:v>
                </c:pt>
                <c:pt idx="28">
                  <c:v>53.067834012265898</c:v>
                </c:pt>
                <c:pt idx="29">
                  <c:v>54.074749269452333</c:v>
                </c:pt>
                <c:pt idx="30">
                  <c:v>55.061996263305062</c:v>
                </c:pt>
                <c:pt idx="31">
                  <c:v>56.070823952511709</c:v>
                </c:pt>
                <c:pt idx="32">
                  <c:v>57.07287426202334</c:v>
                </c:pt>
                <c:pt idx="33">
                  <c:v>58.075869470590128</c:v>
                </c:pt>
                <c:pt idx="34">
                  <c:v>59.078837623652483</c:v>
                </c:pt>
                <c:pt idx="35">
                  <c:v>60.066169227133912</c:v>
                </c:pt>
                <c:pt idx="36">
                  <c:v>61.085719809817725</c:v>
                </c:pt>
                <c:pt idx="37">
                  <c:v>62.089591863191927</c:v>
                </c:pt>
                <c:pt idx="38">
                  <c:v>63.090702228698483</c:v>
                </c:pt>
                <c:pt idx="39">
                  <c:v>64.095639428092696</c:v>
                </c:pt>
                <c:pt idx="40">
                  <c:v>65.071229249832626</c:v>
                </c:pt>
                <c:pt idx="41">
                  <c:v>66.075200299307937</c:v>
                </c:pt>
                <c:pt idx="42">
                  <c:v>67.07706574033962</c:v>
                </c:pt>
                <c:pt idx="43">
                  <c:v>68.080124694337144</c:v>
                </c:pt>
                <c:pt idx="44">
                  <c:v>69.085995454887211</c:v>
                </c:pt>
                <c:pt idx="45">
                  <c:v>70.076183975926469</c:v>
                </c:pt>
                <c:pt idx="46">
                  <c:v>71.085075549835139</c:v>
                </c:pt>
                <c:pt idx="47">
                  <c:v>72.088081746511946</c:v>
                </c:pt>
                <c:pt idx="48">
                  <c:v>73.089095671849662</c:v>
                </c:pt>
                <c:pt idx="49">
                  <c:v>74.099883317878636</c:v>
                </c:pt>
                <c:pt idx="50">
                  <c:v>75.091119989187675</c:v>
                </c:pt>
                <c:pt idx="51">
                  <c:v>76.109708147548787</c:v>
                </c:pt>
                <c:pt idx="52">
                  <c:v>77.112694559111517</c:v>
                </c:pt>
                <c:pt idx="53">
                  <c:v>78.116611471800255</c:v>
                </c:pt>
                <c:pt idx="54">
                  <c:v>79.120620561309792</c:v>
                </c:pt>
                <c:pt idx="55">
                  <c:v>80.095178130471041</c:v>
                </c:pt>
                <c:pt idx="56">
                  <c:v>81.104987578004454</c:v>
                </c:pt>
                <c:pt idx="57">
                  <c:v>82.109903958669733</c:v>
                </c:pt>
                <c:pt idx="58">
                  <c:v>83.115842739097275</c:v>
                </c:pt>
                <c:pt idx="59">
                  <c:v>84.121704297002253</c:v>
                </c:pt>
                <c:pt idx="60">
                  <c:v>85.110070837167186</c:v>
                </c:pt>
                <c:pt idx="61">
                  <c:v>86.115945007536396</c:v>
                </c:pt>
                <c:pt idx="62">
                  <c:v>87.118899638395916</c:v>
                </c:pt>
                <c:pt idx="63">
                  <c:v>88.123797685375806</c:v>
                </c:pt>
                <c:pt idx="64">
                  <c:v>89.12579677885941</c:v>
                </c:pt>
                <c:pt idx="65">
                  <c:v>90.116119467546937</c:v>
                </c:pt>
                <c:pt idx="66">
                  <c:v>91.120939675487179</c:v>
                </c:pt>
                <c:pt idx="67">
                  <c:v>92.123001589983915</c:v>
                </c:pt>
                <c:pt idx="68">
                  <c:v>93.132804327076272</c:v>
                </c:pt>
                <c:pt idx="69">
                  <c:v>94.138663118172929</c:v>
                </c:pt>
                <c:pt idx="70">
                  <c:v>95.127941491026121</c:v>
                </c:pt>
                <c:pt idx="71">
                  <c:v>96.136725576507899</c:v>
                </c:pt>
                <c:pt idx="72">
                  <c:v>97.140726140037458</c:v>
                </c:pt>
                <c:pt idx="73">
                  <c:v>98.142687265091595</c:v>
                </c:pt>
                <c:pt idx="74">
                  <c:v>99.146642225333053</c:v>
                </c:pt>
                <c:pt idx="75">
                  <c:v>100.13692528758268</c:v>
                </c:pt>
                <c:pt idx="76">
                  <c:v>101.1428060101464</c:v>
                </c:pt>
                <c:pt idx="77">
                  <c:v>102.14870583722087</c:v>
                </c:pt>
                <c:pt idx="78">
                  <c:v>103.15272080261786</c:v>
                </c:pt>
                <c:pt idx="79">
                  <c:v>104.15661303958667</c:v>
                </c:pt>
                <c:pt idx="80">
                  <c:v>105.14791774581022</c:v>
                </c:pt>
                <c:pt idx="81">
                  <c:v>106.16647875486464</c:v>
                </c:pt>
                <c:pt idx="82">
                  <c:v>107.17234208713585</c:v>
                </c:pt>
                <c:pt idx="83">
                  <c:v>108.17822485831206</c:v>
                </c:pt>
                <c:pt idx="84">
                  <c:v>109.18418173577123</c:v>
                </c:pt>
                <c:pt idx="85">
                  <c:v>110.15870511437072</c:v>
                </c:pt>
                <c:pt idx="86">
                  <c:v>111.16955402472512</c:v>
                </c:pt>
                <c:pt idx="87">
                  <c:v>112.17445843235676</c:v>
                </c:pt>
                <c:pt idx="88">
                  <c:v>113.17938877129797</c:v>
                </c:pt>
                <c:pt idx="89">
                  <c:v>114.19015833139404</c:v>
                </c:pt>
                <c:pt idx="90">
                  <c:v>115.16191243560046</c:v>
                </c:pt>
                <c:pt idx="91">
                  <c:v>116.16681999742222</c:v>
                </c:pt>
                <c:pt idx="92">
                  <c:v>117.17266900694923</c:v>
                </c:pt>
                <c:pt idx="93">
                  <c:v>118.17664178567976</c:v>
                </c:pt>
                <c:pt idx="94">
                  <c:v>119.17861236148951</c:v>
                </c:pt>
                <c:pt idx="95">
                  <c:v>120.16986408125707</c:v>
                </c:pt>
                <c:pt idx="96">
                  <c:v>121.17573652988962</c:v>
                </c:pt>
                <c:pt idx="97">
                  <c:v>122.1787151787792</c:v>
                </c:pt>
                <c:pt idx="98">
                  <c:v>123.18462239654004</c:v>
                </c:pt>
                <c:pt idx="99">
                  <c:v>124.18954033353501</c:v>
                </c:pt>
                <c:pt idx="100">
                  <c:v>125.17783867337842</c:v>
                </c:pt>
                <c:pt idx="101">
                  <c:v>126.18475923110798</c:v>
                </c:pt>
                <c:pt idx="102">
                  <c:v>127.18870310872111</c:v>
                </c:pt>
                <c:pt idx="103">
                  <c:v>128.19846211105184</c:v>
                </c:pt>
                <c:pt idx="104">
                  <c:v>129.20435025437595</c:v>
                </c:pt>
                <c:pt idx="105">
                  <c:v>130.194624271869</c:v>
                </c:pt>
                <c:pt idx="106">
                  <c:v>131.19952581889004</c:v>
                </c:pt>
                <c:pt idx="107">
                  <c:v>132.20347463257804</c:v>
                </c:pt>
                <c:pt idx="108">
                  <c:v>133.20843009834914</c:v>
                </c:pt>
                <c:pt idx="109">
                  <c:v>134.2151973309322</c:v>
                </c:pt>
                <c:pt idx="110">
                  <c:v>135.20260976223636</c:v>
                </c:pt>
                <c:pt idx="111">
                  <c:v>136.21142585791463</c:v>
                </c:pt>
                <c:pt idx="112">
                  <c:v>137.21733802284908</c:v>
                </c:pt>
                <c:pt idx="113">
                  <c:v>138.22128396804993</c:v>
                </c:pt>
                <c:pt idx="114">
                  <c:v>139.23598458385098</c:v>
                </c:pt>
                <c:pt idx="115">
                  <c:v>140.21637330287746</c:v>
                </c:pt>
                <c:pt idx="116">
                  <c:v>141.21946869904875</c:v>
                </c:pt>
                <c:pt idx="117">
                  <c:v>142.22335592511573</c:v>
                </c:pt>
                <c:pt idx="118">
                  <c:v>143.22835126901555</c:v>
                </c:pt>
                <c:pt idx="119">
                  <c:v>144.23321915176987</c:v>
                </c:pt>
                <c:pt idx="120">
                  <c:v>145.2234853689973</c:v>
                </c:pt>
                <c:pt idx="121">
                  <c:v>146.23432960642438</c:v>
                </c:pt>
                <c:pt idx="122">
                  <c:v>147.23623991035083</c:v>
                </c:pt>
                <c:pt idx="123">
                  <c:v>148.24217950277648</c:v>
                </c:pt>
                <c:pt idx="124">
                  <c:v>149.24804619187933</c:v>
                </c:pt>
                <c:pt idx="125">
                  <c:v>150.23733597387857</c:v>
                </c:pt>
                <c:pt idx="126">
                  <c:v>151.24527506292267</c:v>
                </c:pt>
                <c:pt idx="127">
                  <c:v>152.24912028670553</c:v>
                </c:pt>
                <c:pt idx="128">
                  <c:v>153.25296693506522</c:v>
                </c:pt>
                <c:pt idx="129">
                  <c:v>154.25606268460606</c:v>
                </c:pt>
                <c:pt idx="130">
                  <c:v>155.25215196966823</c:v>
                </c:pt>
                <c:pt idx="131">
                  <c:v>156.25999403603868</c:v>
                </c:pt>
                <c:pt idx="132">
                  <c:v>157.26590986606328</c:v>
                </c:pt>
                <c:pt idx="133">
                  <c:v>158.26984780441873</c:v>
                </c:pt>
                <c:pt idx="134">
                  <c:v>159.27283455431399</c:v>
                </c:pt>
                <c:pt idx="135">
                  <c:v>160.2660496593403</c:v>
                </c:pt>
                <c:pt idx="136">
                  <c:v>161.27386079065988</c:v>
                </c:pt>
                <c:pt idx="137">
                  <c:v>162.27783056234807</c:v>
                </c:pt>
                <c:pt idx="138">
                  <c:v>163.28464979682147</c:v>
                </c:pt>
                <c:pt idx="139">
                  <c:v>164.28761761513152</c:v>
                </c:pt>
                <c:pt idx="140">
                  <c:v>165.27402672862866</c:v>
                </c:pt>
                <c:pt idx="141">
                  <c:v>166.27794324283684</c:v>
                </c:pt>
                <c:pt idx="142">
                  <c:v>167.28188905306271</c:v>
                </c:pt>
                <c:pt idx="143">
                  <c:v>168.28385633934931</c:v>
                </c:pt>
                <c:pt idx="144">
                  <c:v>169.2878494821185</c:v>
                </c:pt>
                <c:pt idx="145">
                  <c:v>170.27710517165454</c:v>
                </c:pt>
                <c:pt idx="146">
                  <c:v>171.28010817654874</c:v>
                </c:pt>
                <c:pt idx="147">
                  <c:v>172.2840500807344</c:v>
                </c:pt>
                <c:pt idx="148">
                  <c:v>173.29189071858968</c:v>
                </c:pt>
                <c:pt idx="149">
                  <c:v>174.30165423202092</c:v>
                </c:pt>
                <c:pt idx="150">
                  <c:v>175.29485901378749</c:v>
                </c:pt>
                <c:pt idx="151">
                  <c:v>176.30169754073415</c:v>
                </c:pt>
                <c:pt idx="152">
                  <c:v>177.30285297571524</c:v>
                </c:pt>
                <c:pt idx="153">
                  <c:v>178.31057922709812</c:v>
                </c:pt>
                <c:pt idx="154">
                  <c:v>179.3164768551901</c:v>
                </c:pt>
                <c:pt idx="155">
                  <c:v>180.30380836844947</c:v>
                </c:pt>
                <c:pt idx="156">
                  <c:v>181.31263526821357</c:v>
                </c:pt>
                <c:pt idx="157">
                  <c:v>182.31555103594201</c:v>
                </c:pt>
                <c:pt idx="158">
                  <c:v>183.32054971447599</c:v>
                </c:pt>
                <c:pt idx="159">
                  <c:v>184.32740457160656</c:v>
                </c:pt>
                <c:pt idx="160">
                  <c:v>185.3215943335565</c:v>
                </c:pt>
                <c:pt idx="161">
                  <c:v>186.32551644510957</c:v>
                </c:pt>
                <c:pt idx="162">
                  <c:v>187.32752435027621</c:v>
                </c:pt>
                <c:pt idx="163">
                  <c:v>188.3334241999062</c:v>
                </c:pt>
                <c:pt idx="164">
                  <c:v>189.33638085360047</c:v>
                </c:pt>
                <c:pt idx="165">
                  <c:v>190.32753678372853</c:v>
                </c:pt>
                <c:pt idx="166">
                  <c:v>191.33257440057855</c:v>
                </c:pt>
              </c:numCache>
            </c:numRef>
          </c:xVal>
          <c:yVal>
            <c:numRef>
              <c:f>'Channel_1-001'!$H$2:$H$168</c:f>
              <c:numCache>
                <c:formatCode>General</c:formatCode>
                <c:ptCount val="167"/>
                <c:pt idx="0">
                  <c:v>0.91037213802337646</c:v>
                </c:pt>
                <c:pt idx="1">
                  <c:v>0.91067975759506226</c:v>
                </c:pt>
                <c:pt idx="2">
                  <c:v>0.90975683927536011</c:v>
                </c:pt>
                <c:pt idx="3">
                  <c:v>0.90944921970367432</c:v>
                </c:pt>
                <c:pt idx="4">
                  <c:v>0.90975683927536011</c:v>
                </c:pt>
                <c:pt idx="5">
                  <c:v>0.90944921970367432</c:v>
                </c:pt>
                <c:pt idx="6">
                  <c:v>0.83592373132705688</c:v>
                </c:pt>
                <c:pt idx="7">
                  <c:v>0.83530843257904053</c:v>
                </c:pt>
                <c:pt idx="8">
                  <c:v>0.83469319343566895</c:v>
                </c:pt>
                <c:pt idx="9">
                  <c:v>0.83438551425933838</c:v>
                </c:pt>
                <c:pt idx="10">
                  <c:v>0.83438551425933838</c:v>
                </c:pt>
                <c:pt idx="11">
                  <c:v>0.79039329290390015</c:v>
                </c:pt>
                <c:pt idx="12">
                  <c:v>0.79008561372756958</c:v>
                </c:pt>
                <c:pt idx="13">
                  <c:v>0.79039329290390015</c:v>
                </c:pt>
                <c:pt idx="14">
                  <c:v>0.79070091247558594</c:v>
                </c:pt>
                <c:pt idx="15">
                  <c:v>0.79039329290390015</c:v>
                </c:pt>
                <c:pt idx="16">
                  <c:v>0.76332110166549683</c:v>
                </c:pt>
                <c:pt idx="17">
                  <c:v>0.76332110166549683</c:v>
                </c:pt>
                <c:pt idx="18">
                  <c:v>0.76301348209381104</c:v>
                </c:pt>
                <c:pt idx="19">
                  <c:v>0.76332110166549683</c:v>
                </c:pt>
                <c:pt idx="20">
                  <c:v>0.76332110166549683</c:v>
                </c:pt>
                <c:pt idx="21">
                  <c:v>0.74086356163024902</c:v>
                </c:pt>
                <c:pt idx="22">
                  <c:v>0.74117118120193481</c:v>
                </c:pt>
                <c:pt idx="23">
                  <c:v>0.74147880077362061</c:v>
                </c:pt>
                <c:pt idx="24">
                  <c:v>0.74147880077362061</c:v>
                </c:pt>
                <c:pt idx="25">
                  <c:v>0.74147880077362061</c:v>
                </c:pt>
                <c:pt idx="26">
                  <c:v>0.72240525484085083</c:v>
                </c:pt>
                <c:pt idx="27">
                  <c:v>0.72240525484085083</c:v>
                </c:pt>
                <c:pt idx="28">
                  <c:v>0.72271287441253662</c:v>
                </c:pt>
                <c:pt idx="29">
                  <c:v>0.72302055358886719</c:v>
                </c:pt>
                <c:pt idx="30">
                  <c:v>0.72302055358886719</c:v>
                </c:pt>
                <c:pt idx="31">
                  <c:v>0.70640808343887329</c:v>
                </c:pt>
                <c:pt idx="32">
                  <c:v>0.70640808343887329</c:v>
                </c:pt>
                <c:pt idx="33">
                  <c:v>0.70702338218688965</c:v>
                </c:pt>
                <c:pt idx="34">
                  <c:v>0.70671570301055908</c:v>
                </c:pt>
                <c:pt idx="35">
                  <c:v>0.70671570301055908</c:v>
                </c:pt>
                <c:pt idx="36">
                  <c:v>0.69164144992828369</c:v>
                </c:pt>
                <c:pt idx="37">
                  <c:v>0.69194906949996948</c:v>
                </c:pt>
                <c:pt idx="38">
                  <c:v>0.69194906949996948</c:v>
                </c:pt>
                <c:pt idx="39">
                  <c:v>0.69225674867630005</c:v>
                </c:pt>
                <c:pt idx="40">
                  <c:v>0.69225674867630005</c:v>
                </c:pt>
                <c:pt idx="41">
                  <c:v>0.67810535430908203</c:v>
                </c:pt>
                <c:pt idx="42">
                  <c:v>0.6784130334854126</c:v>
                </c:pt>
                <c:pt idx="43">
                  <c:v>0.6784130334854126</c:v>
                </c:pt>
                <c:pt idx="44">
                  <c:v>0.67872065305709839</c:v>
                </c:pt>
                <c:pt idx="45">
                  <c:v>0.67902827262878418</c:v>
                </c:pt>
                <c:pt idx="46">
                  <c:v>0.66549223661422729</c:v>
                </c:pt>
                <c:pt idx="47">
                  <c:v>0.66579985618591309</c:v>
                </c:pt>
                <c:pt idx="48">
                  <c:v>0.66610747575759888</c:v>
                </c:pt>
                <c:pt idx="49">
                  <c:v>0.66641515493392944</c:v>
                </c:pt>
                <c:pt idx="50">
                  <c:v>0.66610747575759888</c:v>
                </c:pt>
                <c:pt idx="51">
                  <c:v>0.65349435806274414</c:v>
                </c:pt>
                <c:pt idx="52">
                  <c:v>0.65380197763442993</c:v>
                </c:pt>
                <c:pt idx="53">
                  <c:v>0.65380197763442993</c:v>
                </c:pt>
                <c:pt idx="54">
                  <c:v>0.65410959720611572</c:v>
                </c:pt>
                <c:pt idx="55">
                  <c:v>0.65410959720611572</c:v>
                </c:pt>
                <c:pt idx="56">
                  <c:v>0.64241933822631836</c:v>
                </c:pt>
                <c:pt idx="57">
                  <c:v>0.64211171865463257</c:v>
                </c:pt>
                <c:pt idx="58">
                  <c:v>0.64241933822631836</c:v>
                </c:pt>
                <c:pt idx="59">
                  <c:v>0.64272701740264893</c:v>
                </c:pt>
                <c:pt idx="60">
                  <c:v>0.64272701740264893</c:v>
                </c:pt>
                <c:pt idx="61">
                  <c:v>0.63134437799453735</c:v>
                </c:pt>
                <c:pt idx="62">
                  <c:v>0.63165205717086792</c:v>
                </c:pt>
                <c:pt idx="63">
                  <c:v>0.63165205717086792</c:v>
                </c:pt>
                <c:pt idx="64">
                  <c:v>0.63195967674255371</c:v>
                </c:pt>
                <c:pt idx="65">
                  <c:v>0.63195967674255371</c:v>
                </c:pt>
                <c:pt idx="66">
                  <c:v>0.6211923360824585</c:v>
                </c:pt>
                <c:pt idx="67">
                  <c:v>0.6211923360824585</c:v>
                </c:pt>
                <c:pt idx="68">
                  <c:v>0.6211923360824585</c:v>
                </c:pt>
                <c:pt idx="69">
                  <c:v>0.6211923360824585</c:v>
                </c:pt>
                <c:pt idx="70">
                  <c:v>0.62149995565414429</c:v>
                </c:pt>
                <c:pt idx="71">
                  <c:v>0.61073261499404907</c:v>
                </c:pt>
                <c:pt idx="72">
                  <c:v>0.61104029417037964</c:v>
                </c:pt>
                <c:pt idx="73">
                  <c:v>0.61073261499404907</c:v>
                </c:pt>
                <c:pt idx="74">
                  <c:v>0.61134791374206543</c:v>
                </c:pt>
                <c:pt idx="75">
                  <c:v>0.61134791374206543</c:v>
                </c:pt>
                <c:pt idx="76">
                  <c:v>0.60058057308197021</c:v>
                </c:pt>
                <c:pt idx="77">
                  <c:v>0.60119587182998657</c:v>
                </c:pt>
                <c:pt idx="78">
                  <c:v>0.60150349140167236</c:v>
                </c:pt>
                <c:pt idx="79">
                  <c:v>0.60119587182998657</c:v>
                </c:pt>
                <c:pt idx="80">
                  <c:v>0.60181111097335815</c:v>
                </c:pt>
                <c:pt idx="81">
                  <c:v>0.59135144948959351</c:v>
                </c:pt>
                <c:pt idx="82">
                  <c:v>0.59135144948959351</c:v>
                </c:pt>
                <c:pt idx="83">
                  <c:v>0.59135144948959351</c:v>
                </c:pt>
                <c:pt idx="84">
                  <c:v>0.59135144948959351</c:v>
                </c:pt>
                <c:pt idx="85">
                  <c:v>0.59135144948959351</c:v>
                </c:pt>
                <c:pt idx="86">
                  <c:v>0.58181464672088623</c:v>
                </c:pt>
                <c:pt idx="87">
                  <c:v>0.58181464672088623</c:v>
                </c:pt>
                <c:pt idx="88">
                  <c:v>0.58150702714920044</c:v>
                </c:pt>
                <c:pt idx="89">
                  <c:v>0.58181464672088623</c:v>
                </c:pt>
                <c:pt idx="90">
                  <c:v>0.58181464672088623</c:v>
                </c:pt>
                <c:pt idx="91">
                  <c:v>0.57197022438049316</c:v>
                </c:pt>
                <c:pt idx="92">
                  <c:v>0.57227790355682373</c:v>
                </c:pt>
                <c:pt idx="93">
                  <c:v>0.57258552312850952</c:v>
                </c:pt>
                <c:pt idx="94">
                  <c:v>0.57227790355682373</c:v>
                </c:pt>
                <c:pt idx="95">
                  <c:v>0.57227790355682373</c:v>
                </c:pt>
                <c:pt idx="96">
                  <c:v>0.56304872035980225</c:v>
                </c:pt>
                <c:pt idx="97">
                  <c:v>0.56181818246841431</c:v>
                </c:pt>
                <c:pt idx="98">
                  <c:v>0.56151056289672852</c:v>
                </c:pt>
                <c:pt idx="99">
                  <c:v>0.5621258020401001</c:v>
                </c:pt>
                <c:pt idx="100">
                  <c:v>0.56274110078811646</c:v>
                </c:pt>
                <c:pt idx="101">
                  <c:v>0.55320429801940918</c:v>
                </c:pt>
                <c:pt idx="102">
                  <c:v>0.55351197719573975</c:v>
                </c:pt>
                <c:pt idx="103">
                  <c:v>0.55381959676742554</c:v>
                </c:pt>
                <c:pt idx="104">
                  <c:v>0.55381959676742554</c:v>
                </c:pt>
                <c:pt idx="105">
                  <c:v>0.55381959676742554</c:v>
                </c:pt>
                <c:pt idx="106">
                  <c:v>0.51905649900436401</c:v>
                </c:pt>
                <c:pt idx="107">
                  <c:v>0.5193641185760498</c:v>
                </c:pt>
                <c:pt idx="108">
                  <c:v>0.51905649900436401</c:v>
                </c:pt>
                <c:pt idx="109">
                  <c:v>0.51905649900436401</c:v>
                </c:pt>
                <c:pt idx="110">
                  <c:v>0.5193641185760498</c:v>
                </c:pt>
                <c:pt idx="111">
                  <c:v>0.48644688725471497</c:v>
                </c:pt>
                <c:pt idx="112">
                  <c:v>0.48613923788070679</c:v>
                </c:pt>
                <c:pt idx="113">
                  <c:v>0.48644688725471497</c:v>
                </c:pt>
                <c:pt idx="114">
                  <c:v>0.48675453662872314</c:v>
                </c:pt>
                <c:pt idx="115">
                  <c:v>0.48644688725471497</c:v>
                </c:pt>
                <c:pt idx="116">
                  <c:v>0.45506781339645386</c:v>
                </c:pt>
                <c:pt idx="117">
                  <c:v>0.45568308234214783</c:v>
                </c:pt>
                <c:pt idx="118">
                  <c:v>0.45537543296813965</c:v>
                </c:pt>
                <c:pt idx="119">
                  <c:v>0.45599070191383362</c:v>
                </c:pt>
                <c:pt idx="120">
                  <c:v>0.45568308234214783</c:v>
                </c:pt>
                <c:pt idx="121">
                  <c:v>0.42522689700126648</c:v>
                </c:pt>
                <c:pt idx="122">
                  <c:v>0.42522689700126648</c:v>
                </c:pt>
                <c:pt idx="123">
                  <c:v>0.42522689700126648</c:v>
                </c:pt>
                <c:pt idx="124">
                  <c:v>0.42461162805557251</c:v>
                </c:pt>
                <c:pt idx="125">
                  <c:v>0.42522689700126648</c:v>
                </c:pt>
                <c:pt idx="126">
                  <c:v>0.39600127935409546</c:v>
                </c:pt>
                <c:pt idx="127">
                  <c:v>0.39630892872810364</c:v>
                </c:pt>
                <c:pt idx="128">
                  <c:v>0.39630892872810364</c:v>
                </c:pt>
                <c:pt idx="129">
                  <c:v>0.39600127935409546</c:v>
                </c:pt>
                <c:pt idx="130">
                  <c:v>0.39630892872810364</c:v>
                </c:pt>
                <c:pt idx="131">
                  <c:v>0.36769858002662659</c:v>
                </c:pt>
                <c:pt idx="132">
                  <c:v>0.36800622940063477</c:v>
                </c:pt>
                <c:pt idx="133">
                  <c:v>0.36800622940063477</c:v>
                </c:pt>
                <c:pt idx="134">
                  <c:v>0.36769858002662659</c:v>
                </c:pt>
                <c:pt idx="135">
                  <c:v>0.36769858002662659</c:v>
                </c:pt>
                <c:pt idx="136">
                  <c:v>0.34031879901885986</c:v>
                </c:pt>
                <c:pt idx="137">
                  <c:v>0.34001114964485168</c:v>
                </c:pt>
                <c:pt idx="138">
                  <c:v>0.33970353007316589</c:v>
                </c:pt>
                <c:pt idx="139">
                  <c:v>0.34001114964485168</c:v>
                </c:pt>
                <c:pt idx="140">
                  <c:v>0.34001114964485168</c:v>
                </c:pt>
                <c:pt idx="141">
                  <c:v>0.31293901801109314</c:v>
                </c:pt>
                <c:pt idx="142">
                  <c:v>0.31263136863708496</c:v>
                </c:pt>
                <c:pt idx="143">
                  <c:v>0.31232371926307678</c:v>
                </c:pt>
                <c:pt idx="144">
                  <c:v>0.31232371926307678</c:v>
                </c:pt>
                <c:pt idx="145">
                  <c:v>0.31232371926307678</c:v>
                </c:pt>
                <c:pt idx="146">
                  <c:v>0.28555920720100403</c:v>
                </c:pt>
                <c:pt idx="147">
                  <c:v>0.28525158762931824</c:v>
                </c:pt>
                <c:pt idx="148">
                  <c:v>0.28525158762931824</c:v>
                </c:pt>
                <c:pt idx="149">
                  <c:v>0.28555920720100403</c:v>
                </c:pt>
                <c:pt idx="150">
                  <c:v>0.28525158762931824</c:v>
                </c:pt>
                <c:pt idx="151">
                  <c:v>0.2581794261932373</c:v>
                </c:pt>
                <c:pt idx="152">
                  <c:v>0.2581794261932373</c:v>
                </c:pt>
                <c:pt idx="153">
                  <c:v>0.25787177681922913</c:v>
                </c:pt>
                <c:pt idx="154">
                  <c:v>0.2581794261932373</c:v>
                </c:pt>
                <c:pt idx="155">
                  <c:v>0.25787177681922913</c:v>
                </c:pt>
                <c:pt idx="156">
                  <c:v>0.23141489923000336</c:v>
                </c:pt>
                <c:pt idx="157">
                  <c:v>0.23141489923000336</c:v>
                </c:pt>
                <c:pt idx="158">
                  <c:v>0.23110726475715637</c:v>
                </c:pt>
                <c:pt idx="159">
                  <c:v>0.23079963028430939</c:v>
                </c:pt>
                <c:pt idx="160">
                  <c:v>0.23049198091030121</c:v>
                </c:pt>
                <c:pt idx="161">
                  <c:v>0.20403511822223663</c:v>
                </c:pt>
                <c:pt idx="162">
                  <c:v>0.20434275269508362</c:v>
                </c:pt>
                <c:pt idx="163">
                  <c:v>0.20341983437538147</c:v>
                </c:pt>
                <c:pt idx="164">
                  <c:v>0.20372746884822845</c:v>
                </c:pt>
                <c:pt idx="165">
                  <c:v>0.20341983437538147</c:v>
                </c:pt>
                <c:pt idx="166">
                  <c:v>0.17665532231330872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311-459C-888F-465C6FD35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0674304"/>
        <c:axId val="260663168"/>
      </c:scatterChart>
      <c:valAx>
        <c:axId val="260663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Test_Time(s)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0636032"/>
        <c:crosses val="autoZero"/>
        <c:crossBetween val="midCat"/>
        <c:minorUnit val="1"/>
      </c:valAx>
      <c:valAx>
        <c:axId val="260636032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Current(A)</a:t>
                </a:r>
              </a:p>
            </c:rich>
          </c:tx>
          <c:overlay val="0"/>
        </c:title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260663936"/>
        <c:crosses val="autoZero"/>
        <c:crossBetween val="midCat"/>
      </c:valAx>
      <c:valAx>
        <c:axId val="26066316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Voltage(V)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60674304"/>
        <c:crosses val="max"/>
        <c:crossBetween val="midCat"/>
      </c:valAx>
      <c:valAx>
        <c:axId val="260674304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260663168"/>
        <c:crosses val="autoZero"/>
        <c:crossBetween val="midCat"/>
      </c:valAx>
      <c:spPr>
        <a:noFill/>
      </c:spPr>
    </c:plotArea>
    <c:legend>
      <c:legendPos val="r"/>
      <c:layout>
        <c:manualLayout>
          <c:xMode val="edge"/>
          <c:yMode val="edge"/>
          <c:x val="0.9966859983429992"/>
          <c:y val="0.5"/>
          <c:w val="3.3140016570008283E-3"/>
          <c:h val="0.1079826044162957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Chart1"/>
  <sheetViews>
    <sheetView zoomScale="79" workbookViewId="0" zoomToFit="1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79038" cy="6009190"/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7734375" defaultRowHeight="14.4" x14ac:dyDescent="0.25"/>
  <cols>
    <col min="1" max="1" width="7.77734375" style="2" customWidth="1"/>
    <col min="2" max="2" width="15.77734375" style="2" customWidth="1"/>
    <col min="3" max="4" width="18.77734375" style="2" customWidth="1"/>
    <col min="5" max="5" width="20.109375" style="2" customWidth="1"/>
    <col min="6" max="7" width="10" style="1" customWidth="1"/>
    <col min="8" max="12" width="5.44140625" style="1" customWidth="1"/>
    <col min="13" max="18" width="8.88671875" style="1" customWidth="1"/>
    <col min="19" max="20" width="11.77734375" style="1"/>
    <col min="21" max="22" width="6.44140625" style="1" customWidth="1"/>
    <col min="23" max="16384" width="11.77734375" style="1"/>
  </cols>
  <sheetData>
    <row r="1" spans="1:22" ht="18" x14ac:dyDescent="0.25">
      <c r="D1" s="4" t="s">
        <v>0</v>
      </c>
    </row>
    <row r="2" spans="1:22" x14ac:dyDescent="0.25">
      <c r="D2" s="3" t="s">
        <v>28</v>
      </c>
      <c r="L2" s="1" t="s">
        <v>1</v>
      </c>
    </row>
    <row r="3" spans="1:22" x14ac:dyDescent="0.25">
      <c r="D3" s="5">
        <v>44791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2" s="7" customFormat="1" ht="57.6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</row>
    <row r="5" spans="1:22" x14ac:dyDescent="0.25">
      <c r="A5" s="15" t="s">
        <v>29</v>
      </c>
      <c r="B5" s="16">
        <v>44791.601770833331</v>
      </c>
      <c r="C5" s="2" t="s">
        <v>30</v>
      </c>
      <c r="F5" s="1">
        <v>1</v>
      </c>
      <c r="G5" s="2"/>
      <c r="H5" s="1">
        <v>8</v>
      </c>
      <c r="I5" s="1">
        <v>13</v>
      </c>
      <c r="J5" s="1">
        <v>2</v>
      </c>
      <c r="K5" s="1">
        <v>0</v>
      </c>
      <c r="L5" s="1">
        <v>2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22</v>
      </c>
      <c r="V5" s="1">
        <v>20</v>
      </c>
    </row>
  </sheetData>
  <phoneticPr fontId="1" type="noConversion"/>
  <printOptions headings="1"/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68"/>
  <sheetViews>
    <sheetView tabSelected="1" workbookViewId="0">
      <pane xSplit="1" ySplit="1" topLeftCell="B125" activePane="bottomRight" state="frozen"/>
      <selection pane="topRight" activeCell="B1" sqref="B1"/>
      <selection pane="bottomLeft" activeCell="A2" sqref="A2"/>
      <selection pane="bottomRight" activeCell="C1" sqref="C1:C1048576"/>
    </sheetView>
  </sheetViews>
  <sheetFormatPr defaultColWidth="11.77734375" defaultRowHeight="14.4" x14ac:dyDescent="0.25"/>
  <cols>
    <col min="1" max="1" width="11.77734375" style="3"/>
    <col min="2" max="2" width="11.77734375" style="23"/>
    <col min="3" max="3" width="16.77734375" style="18" customWidth="1"/>
    <col min="4" max="4" width="11.77734375" style="23"/>
    <col min="5" max="5" width="11.77734375" style="19"/>
    <col min="6" max="6" width="11.77734375" style="17"/>
    <col min="7" max="7" width="11.77734375" style="19"/>
    <col min="8" max="10" width="11.77734375" style="17"/>
    <col min="11" max="11" width="11.77734375" style="19"/>
    <col min="12" max="12" width="11.77734375" style="17"/>
    <col min="13" max="13" width="11.77734375" style="19"/>
    <col min="14" max="14" width="11.77734375" style="17"/>
    <col min="15" max="15" width="11.77734375" style="19"/>
    <col min="16" max="16" width="11.77734375" style="17"/>
    <col min="17" max="17" width="11.77734375" style="19"/>
    <col min="18" max="18" width="11.77734375" style="17"/>
    <col min="19" max="19" width="11.77734375" style="19"/>
    <col min="20" max="16384" width="11.77734375" style="1"/>
  </cols>
  <sheetData>
    <row r="1" spans="1:19" s="20" customFormat="1" ht="24.45" customHeight="1" x14ac:dyDescent="0.25">
      <c r="A1" s="20" t="s">
        <v>31</v>
      </c>
      <c r="B1" s="22" t="s">
        <v>32</v>
      </c>
      <c r="C1" s="21" t="s">
        <v>33</v>
      </c>
      <c r="D1" s="22" t="s">
        <v>34</v>
      </c>
      <c r="E1" s="20" t="s">
        <v>35</v>
      </c>
      <c r="F1" s="20" t="s">
        <v>36</v>
      </c>
      <c r="G1" s="20" t="s">
        <v>37</v>
      </c>
      <c r="H1" s="20" t="s">
        <v>38</v>
      </c>
      <c r="K1" s="20" t="s">
        <v>39</v>
      </c>
      <c r="L1" s="20" t="s">
        <v>22</v>
      </c>
      <c r="M1" s="20" t="s">
        <v>40</v>
      </c>
      <c r="N1" s="20" t="s">
        <v>41</v>
      </c>
      <c r="O1" s="20" t="s">
        <v>42</v>
      </c>
      <c r="P1" s="20" t="s">
        <v>21</v>
      </c>
      <c r="Q1" s="20" t="s">
        <v>43</v>
      </c>
      <c r="R1" s="20" t="s">
        <v>44</v>
      </c>
      <c r="S1" s="20" t="s">
        <v>45</v>
      </c>
    </row>
    <row r="2" spans="1:19" x14ac:dyDescent="0.25">
      <c r="A2" s="3">
        <v>1</v>
      </c>
      <c r="B2" s="23">
        <v>5.0124447318580359</v>
      </c>
      <c r="C2" s="18">
        <v>44791.601840277777</v>
      </c>
      <c r="D2" s="23">
        <v>5.0124450551535746</v>
      </c>
      <c r="E2" s="19">
        <v>1</v>
      </c>
      <c r="F2" s="17">
        <v>1</v>
      </c>
      <c r="G2" s="19">
        <v>0</v>
      </c>
      <c r="H2" s="17">
        <v>0.91037213802337646</v>
      </c>
      <c r="K2" s="19">
        <v>0</v>
      </c>
      <c r="L2" s="17">
        <v>0</v>
      </c>
      <c r="M2" s="19">
        <v>0</v>
      </c>
      <c r="N2" s="17">
        <v>0</v>
      </c>
      <c r="O2" s="19">
        <v>-1.2305975542403758E-4</v>
      </c>
      <c r="P2" s="17">
        <v>0</v>
      </c>
      <c r="Q2" s="19">
        <v>0</v>
      </c>
      <c r="R2" s="17">
        <v>0</v>
      </c>
      <c r="S2" s="19">
        <v>0</v>
      </c>
    </row>
    <row r="3" spans="1:19" x14ac:dyDescent="0.25">
      <c r="A3" s="3">
        <v>2</v>
      </c>
      <c r="B3" s="23">
        <v>10.02631820085854</v>
      </c>
      <c r="C3" s="18">
        <v>44791.601898148147</v>
      </c>
      <c r="D3" s="23">
        <v>10.026318527734318</v>
      </c>
      <c r="E3" s="19">
        <v>1</v>
      </c>
      <c r="F3" s="17">
        <v>1</v>
      </c>
      <c r="G3" s="19">
        <v>0</v>
      </c>
      <c r="H3" s="17">
        <v>0.91067975759506226</v>
      </c>
      <c r="K3" s="19">
        <v>0</v>
      </c>
      <c r="L3" s="17">
        <v>0</v>
      </c>
      <c r="M3" s="19">
        <v>0</v>
      </c>
      <c r="N3" s="17">
        <v>0</v>
      </c>
      <c r="O3" s="19">
        <v>0</v>
      </c>
      <c r="P3" s="17">
        <v>0</v>
      </c>
      <c r="Q3" s="19">
        <v>0</v>
      </c>
      <c r="R3" s="17">
        <v>0</v>
      </c>
      <c r="S3" s="19">
        <v>0</v>
      </c>
    </row>
    <row r="4" spans="1:19" x14ac:dyDescent="0.25">
      <c r="A4" s="3">
        <v>3</v>
      </c>
      <c r="B4" s="23">
        <v>15.027359716230295</v>
      </c>
      <c r="C4" s="18">
        <v>44791.601956018509</v>
      </c>
      <c r="D4" s="23">
        <v>15.027360039525831</v>
      </c>
      <c r="E4" s="19">
        <v>1</v>
      </c>
      <c r="F4" s="17">
        <v>1</v>
      </c>
      <c r="G4" s="19">
        <v>0</v>
      </c>
      <c r="H4" s="17">
        <v>0.90975683927536011</v>
      </c>
      <c r="K4" s="19">
        <v>0</v>
      </c>
      <c r="L4" s="17">
        <v>0</v>
      </c>
      <c r="M4" s="19">
        <v>0</v>
      </c>
      <c r="N4" s="17">
        <v>0</v>
      </c>
      <c r="O4" s="19">
        <v>-6.1535836721304804E-5</v>
      </c>
      <c r="P4" s="17">
        <v>0</v>
      </c>
      <c r="Q4" s="19">
        <v>0</v>
      </c>
      <c r="R4" s="17">
        <v>0</v>
      </c>
      <c r="S4" s="19">
        <v>0</v>
      </c>
    </row>
    <row r="5" spans="1:19" x14ac:dyDescent="0.25">
      <c r="A5" s="3">
        <v>4</v>
      </c>
      <c r="B5" s="23">
        <v>20.03942295183505</v>
      </c>
      <c r="C5" s="18">
        <v>44791.602013888885</v>
      </c>
      <c r="D5" s="23">
        <v>20.03942345557461</v>
      </c>
      <c r="E5" s="19">
        <v>1</v>
      </c>
      <c r="F5" s="17">
        <v>1</v>
      </c>
      <c r="G5" s="19">
        <v>0</v>
      </c>
      <c r="H5" s="17">
        <v>0.90944921970367432</v>
      </c>
      <c r="K5" s="19">
        <v>0</v>
      </c>
      <c r="L5" s="17">
        <v>0</v>
      </c>
      <c r="M5" s="19">
        <v>0</v>
      </c>
      <c r="N5" s="17">
        <v>0</v>
      </c>
      <c r="O5" s="19">
        <v>-6.1523911426775157E-5</v>
      </c>
      <c r="P5" s="17">
        <v>0</v>
      </c>
      <c r="Q5" s="19">
        <v>0</v>
      </c>
      <c r="R5" s="17">
        <v>0</v>
      </c>
      <c r="S5" s="19">
        <v>0</v>
      </c>
    </row>
    <row r="6" spans="1:19" x14ac:dyDescent="0.25">
      <c r="A6" s="3">
        <v>5</v>
      </c>
      <c r="B6" s="23">
        <v>25.048330033546833</v>
      </c>
      <c r="C6" s="18">
        <v>44791.602071759262</v>
      </c>
      <c r="D6" s="23">
        <v>25.048330447064384</v>
      </c>
      <c r="E6" s="19">
        <v>1</v>
      </c>
      <c r="F6" s="17">
        <v>1</v>
      </c>
      <c r="G6" s="19">
        <v>0</v>
      </c>
      <c r="H6" s="17">
        <v>0.90975683927536011</v>
      </c>
      <c r="K6" s="19">
        <v>0</v>
      </c>
      <c r="L6" s="17">
        <v>0</v>
      </c>
      <c r="M6" s="19">
        <v>0</v>
      </c>
      <c r="N6" s="17">
        <v>0</v>
      </c>
      <c r="O6" s="19">
        <v>0</v>
      </c>
      <c r="P6" s="17">
        <v>0</v>
      </c>
      <c r="Q6" s="19">
        <v>0</v>
      </c>
      <c r="R6" s="17">
        <v>0</v>
      </c>
      <c r="S6" s="19">
        <v>0</v>
      </c>
    </row>
    <row r="7" spans="1:19" x14ac:dyDescent="0.25">
      <c r="A7" s="3">
        <v>6</v>
      </c>
      <c r="B7" s="23">
        <v>30.010422308824214</v>
      </c>
      <c r="C7" s="18">
        <v>44791.602129629631</v>
      </c>
      <c r="D7" s="23">
        <v>30.010422635699989</v>
      </c>
      <c r="E7" s="19">
        <v>1</v>
      </c>
      <c r="F7" s="17">
        <v>1</v>
      </c>
      <c r="G7" s="19">
        <v>0</v>
      </c>
      <c r="H7" s="17">
        <v>0.90944921970367432</v>
      </c>
      <c r="K7" s="19">
        <v>0</v>
      </c>
      <c r="L7" s="17">
        <v>0</v>
      </c>
      <c r="M7" s="19">
        <v>0</v>
      </c>
      <c r="N7" s="17">
        <v>0</v>
      </c>
      <c r="O7" s="19">
        <v>0</v>
      </c>
      <c r="P7" s="17">
        <v>0</v>
      </c>
      <c r="Q7" s="19">
        <v>0</v>
      </c>
      <c r="R7" s="17">
        <v>0</v>
      </c>
      <c r="S7" s="19">
        <v>0</v>
      </c>
    </row>
    <row r="8" spans="1:19" x14ac:dyDescent="0.25">
      <c r="A8" s="3">
        <v>7</v>
      </c>
      <c r="B8" s="23">
        <v>31.024093476447401</v>
      </c>
      <c r="C8" s="18">
        <v>44791.602141203701</v>
      </c>
      <c r="D8" s="23">
        <v>1.010800186530427</v>
      </c>
      <c r="E8" s="19">
        <v>2</v>
      </c>
      <c r="F8" s="17">
        <v>1</v>
      </c>
      <c r="G8" s="19">
        <v>-0.27518153190612793</v>
      </c>
      <c r="H8" s="17">
        <v>0.83592373132705688</v>
      </c>
      <c r="I8" s="17">
        <f>G8/6.25</f>
        <v>-4.4029045104980472E-2</v>
      </c>
      <c r="J8" s="17">
        <f>H8*I8</f>
        <v>-3.6804923670922564E-2</v>
      </c>
      <c r="K8" s="19">
        <v>0</v>
      </c>
      <c r="L8" s="17">
        <v>6.9733409967999996E-5</v>
      </c>
      <c r="M8" s="19">
        <v>0</v>
      </c>
      <c r="N8" s="17">
        <v>5.9634219901000003E-5</v>
      </c>
      <c r="O8" s="19">
        <v>-1.4089822769165039E-2</v>
      </c>
      <c r="P8" s="17">
        <v>0</v>
      </c>
      <c r="Q8" s="19">
        <v>0</v>
      </c>
      <c r="R8" s="17">
        <v>0</v>
      </c>
      <c r="S8" s="19">
        <v>0</v>
      </c>
    </row>
    <row r="9" spans="1:19" x14ac:dyDescent="0.25">
      <c r="A9" s="3">
        <v>8</v>
      </c>
      <c r="B9" s="23">
        <v>32.027252362420384</v>
      </c>
      <c r="C9" s="18">
        <v>44791.602152777778</v>
      </c>
      <c r="D9" s="23">
        <v>2.0139588773804111</v>
      </c>
      <c r="E9" s="19">
        <v>2</v>
      </c>
      <c r="F9" s="17">
        <v>1</v>
      </c>
      <c r="G9" s="19">
        <v>-0.27511316537857056</v>
      </c>
      <c r="H9" s="17">
        <v>0.83530843257904053</v>
      </c>
      <c r="I9" s="17">
        <f t="shared" ref="I9:I72" si="0">G9/6.25</f>
        <v>-4.4018106460571291E-2</v>
      </c>
      <c r="J9" s="17">
        <f t="shared" ref="J9:J72" si="1">H9*I9</f>
        <v>-3.6768695512677141E-2</v>
      </c>
      <c r="K9" s="19">
        <v>0</v>
      </c>
      <c r="L9" s="17">
        <v>1.4640955850699999E-4</v>
      </c>
      <c r="M9" s="19">
        <v>0</v>
      </c>
      <c r="N9" s="17">
        <v>1.2368396997500001E-4</v>
      </c>
      <c r="O9" s="19">
        <v>-1.4212882146239281E-2</v>
      </c>
      <c r="P9" s="17">
        <v>0</v>
      </c>
      <c r="Q9" s="19">
        <v>0</v>
      </c>
      <c r="R9" s="17">
        <v>0</v>
      </c>
      <c r="S9" s="19">
        <v>0</v>
      </c>
    </row>
    <row r="10" spans="1:19" x14ac:dyDescent="0.25">
      <c r="A10" s="3">
        <v>9</v>
      </c>
      <c r="B10" s="23">
        <v>33.032043673181505</v>
      </c>
      <c r="C10" s="18">
        <v>44791.602164351854</v>
      </c>
      <c r="D10" s="23">
        <v>3.0187501877835099</v>
      </c>
      <c r="E10" s="19">
        <v>2</v>
      </c>
      <c r="F10" s="17">
        <v>1</v>
      </c>
      <c r="G10" s="19">
        <v>-0.27511316537857056</v>
      </c>
      <c r="H10" s="17">
        <v>0.83469319343566895</v>
      </c>
      <c r="I10" s="17">
        <f t="shared" si="0"/>
        <v>-4.4018106460571291E-2</v>
      </c>
      <c r="J10" s="17">
        <f t="shared" si="1"/>
        <v>-3.6741613850565499E-2</v>
      </c>
      <c r="K10" s="19">
        <v>0</v>
      </c>
      <c r="L10" s="17">
        <v>2.2320960258999999E-4</v>
      </c>
      <c r="M10" s="19">
        <v>0</v>
      </c>
      <c r="N10" s="17">
        <v>1.8779992206700001E-4</v>
      </c>
      <c r="O10" s="19">
        <v>-1.845717488322407E-4</v>
      </c>
      <c r="P10" s="17">
        <v>0</v>
      </c>
      <c r="Q10" s="19">
        <v>0</v>
      </c>
      <c r="R10" s="17">
        <v>0</v>
      </c>
      <c r="S10" s="19">
        <v>0</v>
      </c>
    </row>
    <row r="11" spans="1:19" x14ac:dyDescent="0.25">
      <c r="A11" s="3">
        <v>10</v>
      </c>
      <c r="B11" s="23">
        <v>34.035035768730914</v>
      </c>
      <c r="C11" s="18">
        <v>44791.602175925917</v>
      </c>
      <c r="D11" s="23">
        <v>4.0217423588759482</v>
      </c>
      <c r="E11" s="19">
        <v>2</v>
      </c>
      <c r="F11" s="17">
        <v>1</v>
      </c>
      <c r="G11" s="19">
        <v>-0.27518153190612793</v>
      </c>
      <c r="H11" s="17">
        <v>0.83438551425933838</v>
      </c>
      <c r="I11" s="17">
        <f t="shared" si="0"/>
        <v>-4.4029045104980472E-2</v>
      </c>
      <c r="J11" s="17">
        <f t="shared" si="1"/>
        <v>-3.6737197442266736E-2</v>
      </c>
      <c r="K11" s="19">
        <v>0</v>
      </c>
      <c r="L11" s="17">
        <v>2.9987182962600001E-4</v>
      </c>
      <c r="M11" s="19">
        <v>0</v>
      </c>
      <c r="N11" s="17">
        <v>2.5178104981900002E-4</v>
      </c>
      <c r="O11" s="19">
        <v>-1.2305975542403758E-4</v>
      </c>
      <c r="P11" s="17">
        <v>0</v>
      </c>
      <c r="Q11" s="19">
        <v>0</v>
      </c>
      <c r="R11" s="17">
        <v>0</v>
      </c>
      <c r="S11" s="19">
        <v>0</v>
      </c>
    </row>
    <row r="12" spans="1:19" x14ac:dyDescent="0.25">
      <c r="A12" s="3">
        <v>11</v>
      </c>
      <c r="B12" s="23">
        <v>35.027286610982024</v>
      </c>
      <c r="C12" s="18">
        <v>44791.602187500001</v>
      </c>
      <c r="D12" s="23">
        <v>5.0139931220037877</v>
      </c>
      <c r="E12" s="19">
        <v>2</v>
      </c>
      <c r="F12" s="17">
        <v>1</v>
      </c>
      <c r="G12" s="19">
        <v>-0.27518153190612793</v>
      </c>
      <c r="H12" s="17">
        <v>0.83438551425933838</v>
      </c>
      <c r="I12" s="17">
        <f t="shared" si="0"/>
        <v>-4.4029045104980472E-2</v>
      </c>
      <c r="J12" s="17">
        <f t="shared" si="1"/>
        <v>-3.6737197442266736E-2</v>
      </c>
      <c r="K12" s="19">
        <v>0</v>
      </c>
      <c r="L12" s="17">
        <v>3.7571102646000003E-4</v>
      </c>
      <c r="M12" s="19">
        <v>0</v>
      </c>
      <c r="N12" s="17">
        <v>3.1506314965500001E-4</v>
      </c>
      <c r="O12" s="19">
        <v>-6.1535836721304804E-5</v>
      </c>
      <c r="P12" s="17">
        <v>0</v>
      </c>
      <c r="Q12" s="19">
        <v>0</v>
      </c>
      <c r="R12" s="17">
        <v>0</v>
      </c>
      <c r="S12" s="19">
        <v>0</v>
      </c>
    </row>
    <row r="13" spans="1:19" x14ac:dyDescent="0.25">
      <c r="A13" s="3">
        <v>12</v>
      </c>
      <c r="B13" s="23">
        <v>36.033134864720694</v>
      </c>
      <c r="C13" s="18">
        <v>44791.602199074077</v>
      </c>
      <c r="D13" s="23">
        <v>1.0029225494162419</v>
      </c>
      <c r="E13" s="19">
        <v>3</v>
      </c>
      <c r="F13" s="17">
        <v>1</v>
      </c>
      <c r="G13" s="19">
        <v>-0.62526154518127441</v>
      </c>
      <c r="H13" s="17">
        <v>0.79039329290390015</v>
      </c>
      <c r="I13" s="17">
        <f t="shared" si="0"/>
        <v>-0.1000418472290039</v>
      </c>
      <c r="J13" s="17">
        <f t="shared" si="1"/>
        <v>-7.9072405059521317E-2</v>
      </c>
      <c r="K13" s="19">
        <v>0</v>
      </c>
      <c r="L13" s="17">
        <v>5.4731765619900005E-4</v>
      </c>
      <c r="M13" s="19">
        <v>0</v>
      </c>
      <c r="N13" s="17">
        <v>4.5123499088899999E-4</v>
      </c>
      <c r="O13" s="19">
        <v>-8.7369205430150032E-3</v>
      </c>
      <c r="P13" s="17">
        <v>0</v>
      </c>
      <c r="Q13" s="19">
        <v>0</v>
      </c>
      <c r="R13" s="17">
        <v>0</v>
      </c>
      <c r="S13" s="19">
        <v>0</v>
      </c>
    </row>
    <row r="14" spans="1:19" x14ac:dyDescent="0.25">
      <c r="A14" s="3">
        <v>13</v>
      </c>
      <c r="B14" s="23">
        <v>37.034193036794107</v>
      </c>
      <c r="C14" s="18">
        <v>44791.602210648147</v>
      </c>
      <c r="D14" s="23">
        <v>2.0039808002549129</v>
      </c>
      <c r="E14" s="19">
        <v>3</v>
      </c>
      <c r="F14" s="17">
        <v>1</v>
      </c>
      <c r="G14" s="19">
        <v>-0.62526154518127441</v>
      </c>
      <c r="H14" s="17">
        <v>0.79008561372756958</v>
      </c>
      <c r="I14" s="17">
        <f t="shared" si="0"/>
        <v>-0.1000418472290039</v>
      </c>
      <c r="J14" s="17">
        <f t="shared" si="1"/>
        <v>-7.9041624266367308E-2</v>
      </c>
      <c r="K14" s="19">
        <v>0</v>
      </c>
      <c r="L14" s="17">
        <v>7.2117260425500005E-4</v>
      </c>
      <c r="M14" s="19">
        <v>0</v>
      </c>
      <c r="N14" s="17">
        <v>5.88652527312E-4</v>
      </c>
      <c r="O14" s="19">
        <v>-8.7984558194875717E-3</v>
      </c>
      <c r="P14" s="17">
        <v>0</v>
      </c>
      <c r="Q14" s="19">
        <v>0</v>
      </c>
      <c r="R14" s="17">
        <v>0</v>
      </c>
      <c r="S14" s="19">
        <v>0</v>
      </c>
    </row>
    <row r="15" spans="1:19" x14ac:dyDescent="0.25">
      <c r="A15" s="3">
        <v>14</v>
      </c>
      <c r="B15" s="23">
        <v>38.040026426456535</v>
      </c>
      <c r="C15" s="18">
        <v>44791.602222222224</v>
      </c>
      <c r="D15" s="23">
        <v>3.0098139797573311</v>
      </c>
      <c r="E15" s="19">
        <v>3</v>
      </c>
      <c r="F15" s="17">
        <v>1</v>
      </c>
      <c r="G15" s="19">
        <v>-0.62522739171981812</v>
      </c>
      <c r="H15" s="17">
        <v>0.79039329290390015</v>
      </c>
      <c r="I15" s="17">
        <f t="shared" si="0"/>
        <v>-0.1000363826751709</v>
      </c>
      <c r="J15" s="17">
        <f t="shared" si="1"/>
        <v>-7.9068085912822994E-2</v>
      </c>
      <c r="K15" s="19">
        <v>0</v>
      </c>
      <c r="L15" s="17">
        <v>8.9585928672299999E-4</v>
      </c>
      <c r="M15" s="19">
        <v>0</v>
      </c>
      <c r="N15" s="17">
        <v>7.2670817834100002E-4</v>
      </c>
      <c r="O15" s="19">
        <v>6.1535836721304804E-5</v>
      </c>
      <c r="P15" s="17">
        <v>0</v>
      </c>
      <c r="Q15" s="19">
        <v>0</v>
      </c>
      <c r="R15" s="17">
        <v>0</v>
      </c>
      <c r="S15" s="19">
        <v>0</v>
      </c>
    </row>
    <row r="16" spans="1:19" x14ac:dyDescent="0.25">
      <c r="A16" s="3">
        <v>15</v>
      </c>
      <c r="B16" s="23">
        <v>39.045908461177689</v>
      </c>
      <c r="C16" s="18">
        <v>44791.602233796293</v>
      </c>
      <c r="D16" s="23">
        <v>4.0156960141204614</v>
      </c>
      <c r="E16" s="19">
        <v>3</v>
      </c>
      <c r="F16" s="17">
        <v>1</v>
      </c>
      <c r="G16" s="19">
        <v>-0.62519323825836182</v>
      </c>
      <c r="H16" s="17">
        <v>0.79070091247558594</v>
      </c>
      <c r="I16" s="17">
        <f t="shared" si="0"/>
        <v>-0.10003091812133789</v>
      </c>
      <c r="J16" s="17">
        <f t="shared" si="1"/>
        <v>-7.9094538234312492E-2</v>
      </c>
      <c r="K16" s="19">
        <v>0</v>
      </c>
      <c r="L16" s="17">
        <v>1.0705551774879999E-3</v>
      </c>
      <c r="M16" s="19">
        <v>0</v>
      </c>
      <c r="N16" s="17">
        <v>8.6477118995399998E-4</v>
      </c>
      <c r="O16" s="19">
        <v>1.2305975542403758E-4</v>
      </c>
      <c r="P16" s="17">
        <v>0</v>
      </c>
      <c r="Q16" s="19">
        <v>0</v>
      </c>
      <c r="R16" s="17">
        <v>0</v>
      </c>
      <c r="S16" s="19">
        <v>0</v>
      </c>
    </row>
    <row r="17" spans="1:19" x14ac:dyDescent="0.25">
      <c r="A17" s="3">
        <v>16</v>
      </c>
      <c r="B17" s="23">
        <v>40.039176157759634</v>
      </c>
      <c r="C17" s="18">
        <v>44791.60224537037</v>
      </c>
      <c r="D17" s="23">
        <v>5.0089664026837468</v>
      </c>
      <c r="E17" s="19">
        <v>3</v>
      </c>
      <c r="F17" s="17">
        <v>1</v>
      </c>
      <c r="G17" s="19">
        <v>-0.62515902519226074</v>
      </c>
      <c r="H17" s="17">
        <v>0.79039329290390015</v>
      </c>
      <c r="I17" s="17">
        <f t="shared" si="0"/>
        <v>-0.10002544403076172</v>
      </c>
      <c r="J17" s="17">
        <f t="shared" si="1"/>
        <v>-7.9059440081648516E-2</v>
      </c>
      <c r="K17" s="19">
        <v>0</v>
      </c>
      <c r="L17" s="17">
        <v>1.2430568620900001E-3</v>
      </c>
      <c r="M17" s="19">
        <v>0</v>
      </c>
      <c r="N17" s="17">
        <v>1.0011040869230001E-3</v>
      </c>
      <c r="O17" s="19">
        <v>0</v>
      </c>
      <c r="P17" s="17">
        <v>0</v>
      </c>
      <c r="Q17" s="19">
        <v>0</v>
      </c>
      <c r="R17" s="17">
        <v>0</v>
      </c>
      <c r="S17" s="19">
        <v>0</v>
      </c>
    </row>
    <row r="18" spans="1:19" x14ac:dyDescent="0.25">
      <c r="A18" s="3">
        <v>17</v>
      </c>
      <c r="B18" s="23">
        <v>41.046977319905054</v>
      </c>
      <c r="C18" s="18">
        <v>44791.602256944447</v>
      </c>
      <c r="D18" s="23">
        <v>1.004683999198027</v>
      </c>
      <c r="E18" s="19">
        <v>4</v>
      </c>
      <c r="F18" s="17">
        <v>1</v>
      </c>
      <c r="G18" s="19">
        <v>-0.93775004148483276</v>
      </c>
      <c r="H18" s="17">
        <v>0.76332110166549683</v>
      </c>
      <c r="I18" s="17">
        <f t="shared" si="0"/>
        <v>-0.15004000663757325</v>
      </c>
      <c r="J18" s="17">
        <f t="shared" si="1"/>
        <v>-0.11452870316049087</v>
      </c>
      <c r="K18" s="19">
        <v>0</v>
      </c>
      <c r="L18" s="17">
        <v>1.501939052148E-3</v>
      </c>
      <c r="M18" s="19">
        <v>0</v>
      </c>
      <c r="N18" s="17">
        <v>1.199025208553E-3</v>
      </c>
      <c r="O18" s="19">
        <v>-5.414438433945179E-3</v>
      </c>
      <c r="P18" s="17">
        <v>0</v>
      </c>
      <c r="Q18" s="19">
        <v>0</v>
      </c>
      <c r="R18" s="17">
        <v>0</v>
      </c>
      <c r="S18" s="19">
        <v>0</v>
      </c>
    </row>
    <row r="19" spans="1:19" x14ac:dyDescent="0.25">
      <c r="A19" s="3">
        <v>18</v>
      </c>
      <c r="B19" s="23">
        <v>42.053848304220026</v>
      </c>
      <c r="C19" s="18">
        <v>44791.602268518509</v>
      </c>
      <c r="D19" s="23">
        <v>2.0115549043897309</v>
      </c>
      <c r="E19" s="19">
        <v>4</v>
      </c>
      <c r="F19" s="17">
        <v>1</v>
      </c>
      <c r="G19" s="19">
        <v>-0.93775004148483276</v>
      </c>
      <c r="H19" s="17">
        <v>0.76332110166549683</v>
      </c>
      <c r="I19" s="17">
        <f t="shared" si="0"/>
        <v>-0.15004000663757325</v>
      </c>
      <c r="J19" s="17">
        <f t="shared" si="1"/>
        <v>-0.11452870316049087</v>
      </c>
      <c r="K19" s="19">
        <v>0</v>
      </c>
      <c r="L19" s="17">
        <v>1.7642170392459999E-3</v>
      </c>
      <c r="M19" s="19">
        <v>0</v>
      </c>
      <c r="N19" s="17">
        <v>1.399156964424E-3</v>
      </c>
      <c r="O19" s="19">
        <v>-5.414438433945179E-3</v>
      </c>
      <c r="P19" s="17">
        <v>0</v>
      </c>
      <c r="Q19" s="19">
        <v>0</v>
      </c>
      <c r="R19" s="17">
        <v>0</v>
      </c>
      <c r="S19" s="19">
        <v>0</v>
      </c>
    </row>
    <row r="20" spans="1:19" x14ac:dyDescent="0.25">
      <c r="A20" s="3">
        <v>19</v>
      </c>
      <c r="B20" s="23">
        <v>43.06362353505591</v>
      </c>
      <c r="C20" s="18">
        <v>44791.602280092593</v>
      </c>
      <c r="D20" s="23">
        <v>3.0213301352256088</v>
      </c>
      <c r="E20" s="19">
        <v>4</v>
      </c>
      <c r="F20" s="17">
        <v>1</v>
      </c>
      <c r="G20" s="19">
        <v>-0.93775004148483276</v>
      </c>
      <c r="H20" s="17">
        <v>0.76301348209381104</v>
      </c>
      <c r="I20" s="17">
        <f t="shared" si="0"/>
        <v>-0.15004000663757325</v>
      </c>
      <c r="J20" s="17">
        <f t="shared" si="1"/>
        <v>-0.11448254791791329</v>
      </c>
      <c r="K20" s="19">
        <v>0</v>
      </c>
      <c r="L20" s="17">
        <v>2.0272509331770001E-3</v>
      </c>
      <c r="M20" s="19">
        <v>0</v>
      </c>
      <c r="N20" s="17">
        <v>1.599910253831E-3</v>
      </c>
      <c r="O20" s="19">
        <v>0</v>
      </c>
      <c r="P20" s="17">
        <v>0</v>
      </c>
      <c r="Q20" s="19">
        <v>0</v>
      </c>
      <c r="R20" s="17">
        <v>0</v>
      </c>
      <c r="S20" s="19">
        <v>0</v>
      </c>
    </row>
    <row r="21" spans="1:19" x14ac:dyDescent="0.25">
      <c r="A21" s="3">
        <v>20</v>
      </c>
      <c r="B21" s="23">
        <v>44.07134481670969</v>
      </c>
      <c r="C21" s="18">
        <v>44791.60229166667</v>
      </c>
      <c r="D21" s="23">
        <v>4.0290514132991539</v>
      </c>
      <c r="E21" s="19">
        <v>4</v>
      </c>
      <c r="F21" s="17">
        <v>1</v>
      </c>
      <c r="G21" s="19">
        <v>-0.93771582841873169</v>
      </c>
      <c r="H21" s="17">
        <v>0.76332110166549683</v>
      </c>
      <c r="I21" s="17">
        <f t="shared" si="0"/>
        <v>-0.15003453254699706</v>
      </c>
      <c r="J21" s="17">
        <f t="shared" si="1"/>
        <v>-0.11452452467164163</v>
      </c>
      <c r="K21" s="19">
        <v>0</v>
      </c>
      <c r="L21" s="17">
        <v>2.2897516278369999E-3</v>
      </c>
      <c r="M21" s="19">
        <v>0</v>
      </c>
      <c r="N21" s="17">
        <v>1.800275057031E-3</v>
      </c>
      <c r="O21" s="19">
        <v>0</v>
      </c>
      <c r="P21" s="17">
        <v>0</v>
      </c>
      <c r="Q21" s="19">
        <v>0</v>
      </c>
      <c r="R21" s="17">
        <v>0</v>
      </c>
      <c r="S21" s="19">
        <v>0</v>
      </c>
    </row>
    <row r="22" spans="1:19" x14ac:dyDescent="0.25">
      <c r="A22" s="3">
        <v>21</v>
      </c>
      <c r="B22" s="23">
        <v>45.046162984272016</v>
      </c>
      <c r="C22" s="18">
        <v>44791.602303240739</v>
      </c>
      <c r="D22" s="23">
        <v>5.0038696560464864</v>
      </c>
      <c r="E22" s="19">
        <v>4</v>
      </c>
      <c r="F22" s="17">
        <v>1</v>
      </c>
      <c r="G22" s="19">
        <v>-0.93771582841873169</v>
      </c>
      <c r="H22" s="17">
        <v>0.76332110166549683</v>
      </c>
      <c r="I22" s="17">
        <f t="shared" si="0"/>
        <v>-0.15003453254699706</v>
      </c>
      <c r="J22" s="17">
        <f t="shared" si="1"/>
        <v>-0.11452452467164163</v>
      </c>
      <c r="K22" s="19">
        <v>0</v>
      </c>
      <c r="L22" s="17">
        <v>2.5436804818590002E-3</v>
      </c>
      <c r="M22" s="19">
        <v>0</v>
      </c>
      <c r="N22" s="17">
        <v>1.994120739874E-3</v>
      </c>
      <c r="O22" s="19">
        <v>0</v>
      </c>
      <c r="P22" s="17">
        <v>0</v>
      </c>
      <c r="Q22" s="19">
        <v>0</v>
      </c>
      <c r="R22" s="17">
        <v>0</v>
      </c>
      <c r="S22" s="19">
        <v>0</v>
      </c>
    </row>
    <row r="23" spans="1:19" x14ac:dyDescent="0.25">
      <c r="A23" s="3">
        <v>22</v>
      </c>
      <c r="B23" s="23">
        <v>46.060798200572123</v>
      </c>
      <c r="C23" s="18">
        <v>44791.602314814816</v>
      </c>
      <c r="D23" s="23">
        <v>1.0114321054308639</v>
      </c>
      <c r="E23" s="19">
        <v>5</v>
      </c>
      <c r="F23" s="17">
        <v>1</v>
      </c>
      <c r="G23" s="19">
        <v>-1.2505804300308228</v>
      </c>
      <c r="H23" s="17">
        <v>0.74086356163024902</v>
      </c>
      <c r="I23" s="17">
        <f t="shared" si="0"/>
        <v>-0.20009286880493163</v>
      </c>
      <c r="J23" s="17">
        <f t="shared" si="1"/>
        <v>-0.14824151543963579</v>
      </c>
      <c r="K23" s="19">
        <v>0</v>
      </c>
      <c r="L23" s="17">
        <v>2.877568985012E-3</v>
      </c>
      <c r="M23" s="19">
        <v>0</v>
      </c>
      <c r="N23" s="17">
        <v>2.2428534283910001E-3</v>
      </c>
      <c r="O23" s="19">
        <v>-4.5530437491834164E-3</v>
      </c>
      <c r="P23" s="17">
        <v>0</v>
      </c>
      <c r="Q23" s="19">
        <v>0</v>
      </c>
      <c r="R23" s="17">
        <v>0</v>
      </c>
      <c r="S23" s="19">
        <v>0</v>
      </c>
    </row>
    <row r="24" spans="1:19" x14ac:dyDescent="0.25">
      <c r="A24" s="3">
        <v>23</v>
      </c>
      <c r="B24" s="23">
        <v>47.060833130811176</v>
      </c>
      <c r="C24" s="18">
        <v>44791.602326388886</v>
      </c>
      <c r="D24" s="23">
        <v>2.0114670918796609</v>
      </c>
      <c r="E24" s="19">
        <v>5</v>
      </c>
      <c r="F24" s="17">
        <v>1</v>
      </c>
      <c r="G24" s="19">
        <v>-1.2509503364562988</v>
      </c>
      <c r="H24" s="17">
        <v>0.74117118120193481</v>
      </c>
      <c r="I24" s="17">
        <f t="shared" si="0"/>
        <v>-0.20015205383300783</v>
      </c>
      <c r="J24" s="17">
        <f t="shared" si="1"/>
        <v>-0.14834693415940364</v>
      </c>
      <c r="K24" s="19">
        <v>0</v>
      </c>
      <c r="L24" s="17">
        <v>3.2250617245660001E-3</v>
      </c>
      <c r="M24" s="19">
        <v>0</v>
      </c>
      <c r="N24" s="17">
        <v>2.5002855938690001E-3</v>
      </c>
      <c r="O24" s="19">
        <v>-4.4915201142430305E-3</v>
      </c>
      <c r="P24" s="17">
        <v>0</v>
      </c>
      <c r="Q24" s="19">
        <v>0</v>
      </c>
      <c r="R24" s="17">
        <v>0</v>
      </c>
      <c r="S24" s="19">
        <v>0</v>
      </c>
    </row>
    <row r="25" spans="1:19" x14ac:dyDescent="0.25">
      <c r="A25" s="3">
        <v>24</v>
      </c>
      <c r="B25" s="23">
        <v>48.066657321766776</v>
      </c>
      <c r="C25" s="18">
        <v>44791.602337962962</v>
      </c>
      <c r="D25" s="23">
        <v>3.0172912226872559</v>
      </c>
      <c r="E25" s="19">
        <v>5</v>
      </c>
      <c r="F25" s="17">
        <v>1</v>
      </c>
      <c r="G25" s="19">
        <v>-1.2505804300308228</v>
      </c>
      <c r="H25" s="17">
        <v>0.74147880077362061</v>
      </c>
      <c r="I25" s="17">
        <f t="shared" si="0"/>
        <v>-0.20009286880493163</v>
      </c>
      <c r="J25" s="17">
        <f t="shared" si="1"/>
        <v>-0.14836462040483411</v>
      </c>
      <c r="K25" s="19">
        <v>0</v>
      </c>
      <c r="L25" s="17">
        <v>3.5745562700630002E-3</v>
      </c>
      <c r="M25" s="19">
        <v>0</v>
      </c>
      <c r="N25" s="17">
        <v>2.7592561573539999E-3</v>
      </c>
      <c r="O25" s="19">
        <v>6.1523911426775157E-5</v>
      </c>
      <c r="P25" s="17">
        <v>0</v>
      </c>
      <c r="Q25" s="19">
        <v>0</v>
      </c>
      <c r="R25" s="17">
        <v>0</v>
      </c>
      <c r="S25" s="19">
        <v>0</v>
      </c>
    </row>
    <row r="26" spans="1:19" x14ac:dyDescent="0.25">
      <c r="A26" s="3">
        <v>25</v>
      </c>
      <c r="B26" s="23">
        <v>49.074570949228637</v>
      </c>
      <c r="C26" s="18">
        <v>44791.602349537039</v>
      </c>
      <c r="D26" s="23">
        <v>4.025204854087379</v>
      </c>
      <c r="E26" s="19">
        <v>5</v>
      </c>
      <c r="F26" s="17">
        <v>1</v>
      </c>
      <c r="G26" s="19">
        <v>-1.2505804300308228</v>
      </c>
      <c r="H26" s="17">
        <v>0.74147880077362061</v>
      </c>
      <c r="I26" s="17">
        <f t="shared" si="0"/>
        <v>-0.20009286880493163</v>
      </c>
      <c r="J26" s="17">
        <f t="shared" si="1"/>
        <v>-0.14836462040483411</v>
      </c>
      <c r="K26" s="19">
        <v>0</v>
      </c>
      <c r="L26" s="17">
        <v>3.9247680539179998E-3</v>
      </c>
      <c r="M26" s="19">
        <v>0</v>
      </c>
      <c r="N26" s="17">
        <v>3.0188397416119998E-3</v>
      </c>
      <c r="O26" s="19">
        <v>1.2304782285355031E-4</v>
      </c>
      <c r="P26" s="17">
        <v>0</v>
      </c>
      <c r="Q26" s="19">
        <v>0</v>
      </c>
      <c r="R26" s="17">
        <v>0</v>
      </c>
      <c r="S26" s="19">
        <v>0</v>
      </c>
    </row>
    <row r="27" spans="1:19" x14ac:dyDescent="0.25">
      <c r="A27" s="3">
        <v>26</v>
      </c>
      <c r="B27" s="23">
        <v>50.053126879356697</v>
      </c>
      <c r="C27" s="18">
        <v>44791.602361111109</v>
      </c>
      <c r="D27" s="23">
        <v>5.0037607881537074</v>
      </c>
      <c r="E27" s="19">
        <v>5</v>
      </c>
      <c r="F27" s="17">
        <v>1</v>
      </c>
      <c r="G27" s="19">
        <v>-1.2509503364562988</v>
      </c>
      <c r="H27" s="17">
        <v>0.74147880077362061</v>
      </c>
      <c r="I27" s="17">
        <f t="shared" si="0"/>
        <v>-0.20015205383300783</v>
      </c>
      <c r="J27" s="17">
        <f t="shared" si="1"/>
        <v>-0.14840850484847579</v>
      </c>
      <c r="K27" s="19">
        <v>0</v>
      </c>
      <c r="L27" s="17">
        <v>4.2648003203410003E-3</v>
      </c>
      <c r="M27" s="19">
        <v>0</v>
      </c>
      <c r="N27" s="17">
        <v>3.2709039848900002E-3</v>
      </c>
      <c r="O27" s="19">
        <v>1.8458366685081273E-4</v>
      </c>
      <c r="P27" s="17">
        <v>0</v>
      </c>
      <c r="Q27" s="19">
        <v>0</v>
      </c>
      <c r="R27" s="17">
        <v>0</v>
      </c>
      <c r="S27" s="19">
        <v>0</v>
      </c>
    </row>
    <row r="28" spans="1:19" x14ac:dyDescent="0.25">
      <c r="A28" s="3">
        <v>27</v>
      </c>
      <c r="B28" s="23">
        <v>51.059989010815904</v>
      </c>
      <c r="C28" s="18">
        <v>44791.602372685185</v>
      </c>
      <c r="D28" s="23">
        <v>1.0039665011403061</v>
      </c>
      <c r="E28" s="19">
        <v>6</v>
      </c>
      <c r="F28" s="17">
        <v>1</v>
      </c>
      <c r="G28" s="19">
        <v>-1.5627506971359253</v>
      </c>
      <c r="H28" s="17">
        <v>0.72240525484085083</v>
      </c>
      <c r="I28" s="17">
        <f t="shared" si="0"/>
        <v>-0.25004011154174804</v>
      </c>
      <c r="J28" s="17">
        <f t="shared" si="1"/>
        <v>-0.18063029049875126</v>
      </c>
      <c r="K28" s="19">
        <v>0</v>
      </c>
      <c r="L28" s="17">
        <v>4.6981130067929996E-3</v>
      </c>
      <c r="M28" s="19">
        <v>0</v>
      </c>
      <c r="N28" s="17">
        <v>3.5842948859780002E-3</v>
      </c>
      <c r="O28" s="19">
        <v>-3.8762451149523258E-3</v>
      </c>
      <c r="P28" s="17">
        <v>0</v>
      </c>
      <c r="Q28" s="19">
        <v>0</v>
      </c>
      <c r="R28" s="17">
        <v>0</v>
      </c>
      <c r="S28" s="19">
        <v>0</v>
      </c>
    </row>
    <row r="29" spans="1:19" x14ac:dyDescent="0.25">
      <c r="A29" s="3">
        <v>28</v>
      </c>
      <c r="B29" s="23">
        <v>52.062957054680986</v>
      </c>
      <c r="C29" s="18">
        <v>44791.602384259262</v>
      </c>
      <c r="D29" s="23">
        <v>2.006934545005389</v>
      </c>
      <c r="E29" s="19">
        <v>6</v>
      </c>
      <c r="F29" s="17">
        <v>1</v>
      </c>
      <c r="G29" s="19">
        <v>-1.5634903907775879</v>
      </c>
      <c r="H29" s="17">
        <v>0.72240525484085083</v>
      </c>
      <c r="I29" s="17">
        <f t="shared" si="0"/>
        <v>-0.25015846252441404</v>
      </c>
      <c r="J29" s="17">
        <f t="shared" si="1"/>
        <v>-0.18071578787054476</v>
      </c>
      <c r="K29" s="19">
        <v>0</v>
      </c>
      <c r="L29" s="17">
        <v>5.1336308410859996E-3</v>
      </c>
      <c r="M29" s="19">
        <v>0</v>
      </c>
      <c r="N29" s="17">
        <v>3.8989593424620002E-3</v>
      </c>
      <c r="O29" s="19">
        <v>-3.8762451149523258E-3</v>
      </c>
      <c r="P29" s="17">
        <v>0</v>
      </c>
      <c r="Q29" s="19">
        <v>0</v>
      </c>
      <c r="R29" s="17">
        <v>0</v>
      </c>
      <c r="S29" s="19">
        <v>0</v>
      </c>
    </row>
    <row r="30" spans="1:19" x14ac:dyDescent="0.25">
      <c r="A30" s="3">
        <v>29</v>
      </c>
      <c r="B30" s="23">
        <v>53.067834012265898</v>
      </c>
      <c r="C30" s="18">
        <v>44791.602395833324</v>
      </c>
      <c r="D30" s="23">
        <v>3.0118114990100642</v>
      </c>
      <c r="E30" s="19">
        <v>6</v>
      </c>
      <c r="F30" s="17">
        <v>1</v>
      </c>
      <c r="G30" s="19">
        <v>-1.5631206035614014</v>
      </c>
      <c r="H30" s="17">
        <v>0.72271287441253662</v>
      </c>
      <c r="I30" s="17">
        <f t="shared" si="0"/>
        <v>-0.25009929656982421</v>
      </c>
      <c r="J30" s="17">
        <f t="shared" si="1"/>
        <v>-0.1807499815125311</v>
      </c>
      <c r="K30" s="19">
        <v>0</v>
      </c>
      <c r="L30" s="17">
        <v>5.4885711230030004E-3</v>
      </c>
      <c r="M30" s="19">
        <v>0</v>
      </c>
      <c r="N30" s="17">
        <v>4.1554867030209998E-3</v>
      </c>
      <c r="O30" s="19">
        <v>6.1523911426775157E-5</v>
      </c>
      <c r="P30" s="17">
        <v>0</v>
      </c>
      <c r="Q30" s="19">
        <v>0</v>
      </c>
      <c r="R30" s="17">
        <v>0</v>
      </c>
      <c r="S30" s="19">
        <v>0</v>
      </c>
    </row>
    <row r="31" spans="1:19" x14ac:dyDescent="0.25">
      <c r="A31" s="3">
        <v>30</v>
      </c>
      <c r="B31" s="23">
        <v>54.074749269452333</v>
      </c>
      <c r="C31" s="18">
        <v>44791.602407407408</v>
      </c>
      <c r="D31" s="23">
        <v>4.0187267748137394</v>
      </c>
      <c r="E31" s="19">
        <v>6</v>
      </c>
      <c r="F31" s="17">
        <v>1</v>
      </c>
      <c r="G31" s="19">
        <v>-1.5634903907775879</v>
      </c>
      <c r="H31" s="17">
        <v>0.72302055358886719</v>
      </c>
      <c r="I31" s="17">
        <f t="shared" si="0"/>
        <v>-0.25015846252441404</v>
      </c>
      <c r="J31" s="17">
        <f t="shared" si="1"/>
        <v>-0.18086971005934172</v>
      </c>
      <c r="K31" s="19">
        <v>0</v>
      </c>
      <c r="L31" s="17">
        <v>6.0071887845680001E-3</v>
      </c>
      <c r="M31" s="19">
        <v>0</v>
      </c>
      <c r="N31" s="17">
        <v>4.5304066424949998E-3</v>
      </c>
      <c r="O31" s="19">
        <v>6.1535836721304804E-5</v>
      </c>
      <c r="P31" s="17">
        <v>0</v>
      </c>
      <c r="Q31" s="19">
        <v>0</v>
      </c>
      <c r="R31" s="17">
        <v>0</v>
      </c>
      <c r="S31" s="19">
        <v>0</v>
      </c>
    </row>
    <row r="32" spans="1:19" x14ac:dyDescent="0.25">
      <c r="A32" s="3">
        <v>31</v>
      </c>
      <c r="B32" s="23">
        <v>55.061996263305062</v>
      </c>
      <c r="C32" s="18">
        <v>44791.602418981478</v>
      </c>
      <c r="D32" s="23">
        <v>5.0059737611479678</v>
      </c>
      <c r="E32" s="19">
        <v>6</v>
      </c>
      <c r="F32" s="17">
        <v>1</v>
      </c>
      <c r="G32" s="19">
        <v>-1.5631206035614014</v>
      </c>
      <c r="H32" s="17">
        <v>0.72302055358886719</v>
      </c>
      <c r="I32" s="17">
        <f t="shared" si="0"/>
        <v>-0.25009929656982421</v>
      </c>
      <c r="J32" s="17">
        <f t="shared" si="1"/>
        <v>-0.18082693185810059</v>
      </c>
      <c r="K32" s="19">
        <v>0</v>
      </c>
      <c r="L32" s="17">
        <v>6.4358731876279999E-3</v>
      </c>
      <c r="M32" s="19">
        <v>0</v>
      </c>
      <c r="N32" s="17">
        <v>4.8403708148930004E-3</v>
      </c>
      <c r="O32" s="19">
        <v>6.1535836721304804E-5</v>
      </c>
      <c r="P32" s="17">
        <v>0</v>
      </c>
      <c r="Q32" s="19">
        <v>0</v>
      </c>
      <c r="R32" s="17">
        <v>0</v>
      </c>
      <c r="S32" s="19">
        <v>0</v>
      </c>
    </row>
    <row r="33" spans="1:19" x14ac:dyDescent="0.25">
      <c r="A33" s="3">
        <v>32</v>
      </c>
      <c r="B33" s="23">
        <v>56.070823952511709</v>
      </c>
      <c r="C33" s="18">
        <v>44791.602430555555</v>
      </c>
      <c r="D33" s="23">
        <v>1.0056309089151521</v>
      </c>
      <c r="E33" s="19">
        <v>7</v>
      </c>
      <c r="F33" s="17">
        <v>1</v>
      </c>
      <c r="G33" s="19">
        <v>-1.8756606578826904</v>
      </c>
      <c r="H33" s="17">
        <v>0.70640808343887329</v>
      </c>
      <c r="I33" s="17">
        <f t="shared" si="0"/>
        <v>-0.30010570526123048</v>
      </c>
      <c r="J33" s="17">
        <f t="shared" si="1"/>
        <v>-0.21199709608265721</v>
      </c>
      <c r="K33" s="19">
        <v>0</v>
      </c>
      <c r="L33" s="17">
        <v>6.9576500679050003E-3</v>
      </c>
      <c r="M33" s="19">
        <v>0</v>
      </c>
      <c r="N33" s="17">
        <v>5.2092638873569999E-3</v>
      </c>
      <c r="O33" s="19">
        <v>-3.3224939834326506E-3</v>
      </c>
      <c r="P33" s="17">
        <v>0</v>
      </c>
      <c r="Q33" s="19">
        <v>0</v>
      </c>
      <c r="R33" s="17">
        <v>0</v>
      </c>
      <c r="S33" s="19">
        <v>0</v>
      </c>
    </row>
    <row r="34" spans="1:19" x14ac:dyDescent="0.25">
      <c r="A34" s="3">
        <v>33</v>
      </c>
      <c r="B34" s="23">
        <v>57.07287426202334</v>
      </c>
      <c r="C34" s="18">
        <v>44791.602442129632</v>
      </c>
      <c r="D34" s="23">
        <v>2.0076812148465328</v>
      </c>
      <c r="E34" s="19">
        <v>7</v>
      </c>
      <c r="F34" s="17">
        <v>1</v>
      </c>
      <c r="G34" s="19">
        <v>-1.8760305643081665</v>
      </c>
      <c r="H34" s="17">
        <v>0.70640808343887329</v>
      </c>
      <c r="I34" s="17">
        <f t="shared" si="0"/>
        <v>-0.30016489028930665</v>
      </c>
      <c r="J34" s="17">
        <f t="shared" si="1"/>
        <v>-0.21203890486490878</v>
      </c>
      <c r="K34" s="19">
        <v>0</v>
      </c>
      <c r="L34" s="17">
        <v>7.4797955419669999E-3</v>
      </c>
      <c r="M34" s="19">
        <v>0</v>
      </c>
      <c r="N34" s="17">
        <v>5.5781115701649996E-3</v>
      </c>
      <c r="O34" s="19">
        <v>-3.3224939834326506E-3</v>
      </c>
      <c r="P34" s="17">
        <v>0</v>
      </c>
      <c r="Q34" s="19">
        <v>0</v>
      </c>
      <c r="R34" s="17">
        <v>0</v>
      </c>
      <c r="S34" s="19">
        <v>0</v>
      </c>
    </row>
    <row r="35" spans="1:19" x14ac:dyDescent="0.25">
      <c r="A35" s="3">
        <v>34</v>
      </c>
      <c r="B35" s="23">
        <v>58.075869470590128</v>
      </c>
      <c r="C35" s="18">
        <v>44791.602453703701</v>
      </c>
      <c r="D35" s="23">
        <v>3.010676340351794</v>
      </c>
      <c r="E35" s="19">
        <v>7</v>
      </c>
      <c r="F35" s="17">
        <v>1</v>
      </c>
      <c r="G35" s="19">
        <v>-1.8756606578826904</v>
      </c>
      <c r="H35" s="17">
        <v>0.70702338218688965</v>
      </c>
      <c r="I35" s="17">
        <f t="shared" si="0"/>
        <v>-0.30010570526123048</v>
      </c>
      <c r="J35" s="17">
        <f t="shared" si="1"/>
        <v>-0.21218175074737702</v>
      </c>
      <c r="K35" s="19">
        <v>0</v>
      </c>
      <c r="L35" s="17">
        <v>8.0024526192059992E-3</v>
      </c>
      <c r="M35" s="19">
        <v>0</v>
      </c>
      <c r="N35" s="17">
        <v>5.9474038091270002E-3</v>
      </c>
      <c r="O35" s="19">
        <v>1.2305975542403758E-4</v>
      </c>
      <c r="P35" s="17">
        <v>0</v>
      </c>
      <c r="Q35" s="19">
        <v>0</v>
      </c>
      <c r="R35" s="17">
        <v>0</v>
      </c>
      <c r="S35" s="19">
        <v>0</v>
      </c>
    </row>
    <row r="36" spans="1:19" x14ac:dyDescent="0.25">
      <c r="A36" s="3">
        <v>35</v>
      </c>
      <c r="B36" s="23">
        <v>59.078837623652483</v>
      </c>
      <c r="C36" s="18">
        <v>44791.602465277778</v>
      </c>
      <c r="D36" s="23">
        <v>4.0136444898339132</v>
      </c>
      <c r="E36" s="19">
        <v>7</v>
      </c>
      <c r="F36" s="17">
        <v>1</v>
      </c>
      <c r="G36" s="19">
        <v>-1.8760305643081665</v>
      </c>
      <c r="H36" s="17">
        <v>0.70671570301055908</v>
      </c>
      <c r="I36" s="17">
        <f t="shared" si="0"/>
        <v>-0.30016489028930665</v>
      </c>
      <c r="J36" s="17">
        <f t="shared" si="1"/>
        <v>-0.21213124145989468</v>
      </c>
      <c r="K36" s="19">
        <v>0</v>
      </c>
      <c r="L36" s="17">
        <v>8.5250987675920004E-3</v>
      </c>
      <c r="M36" s="19">
        <v>0</v>
      </c>
      <c r="N36" s="17">
        <v>6.3167999314280004E-3</v>
      </c>
      <c r="O36" s="19">
        <v>6.1523911426775157E-5</v>
      </c>
      <c r="P36" s="17">
        <v>0</v>
      </c>
      <c r="Q36" s="19">
        <v>0</v>
      </c>
      <c r="R36" s="17">
        <v>0</v>
      </c>
      <c r="S36" s="19">
        <v>0</v>
      </c>
    </row>
    <row r="37" spans="1:19" x14ac:dyDescent="0.25">
      <c r="A37" s="3">
        <v>36</v>
      </c>
      <c r="B37" s="23">
        <v>60.066169227133912</v>
      </c>
      <c r="C37" s="18">
        <v>44791.602476851855</v>
      </c>
      <c r="D37" s="23">
        <v>5.0009760933153364</v>
      </c>
      <c r="E37" s="19">
        <v>7</v>
      </c>
      <c r="F37" s="17">
        <v>1</v>
      </c>
      <c r="G37" s="19">
        <v>-1.8760305643081665</v>
      </c>
      <c r="H37" s="17">
        <v>0.70671570301055908</v>
      </c>
      <c r="I37" s="17">
        <f t="shared" si="0"/>
        <v>-0.30016489028930665</v>
      </c>
      <c r="J37" s="17">
        <f t="shared" si="1"/>
        <v>-0.21213124145989468</v>
      </c>
      <c r="K37" s="19">
        <v>0</v>
      </c>
      <c r="L37" s="17">
        <v>9.0396005821809997E-3</v>
      </c>
      <c r="M37" s="19">
        <v>0</v>
      </c>
      <c r="N37" s="17">
        <v>6.6805017778830003E-3</v>
      </c>
      <c r="O37" s="19">
        <v>-6.1535836721304804E-5</v>
      </c>
      <c r="P37" s="17">
        <v>0</v>
      </c>
      <c r="Q37" s="19">
        <v>0</v>
      </c>
      <c r="R37" s="17">
        <v>0</v>
      </c>
      <c r="S37" s="19">
        <v>0</v>
      </c>
    </row>
    <row r="38" spans="1:19" x14ac:dyDescent="0.25">
      <c r="A38" s="3">
        <v>37</v>
      </c>
      <c r="B38" s="23">
        <v>61.085719809817725</v>
      </c>
      <c r="C38" s="18">
        <v>44791.602488425917</v>
      </c>
      <c r="D38" s="23">
        <v>1.0163703996620259</v>
      </c>
      <c r="E38" s="19">
        <v>8</v>
      </c>
      <c r="F38" s="17">
        <v>1</v>
      </c>
      <c r="G38" s="19">
        <v>-2.1885707378387451</v>
      </c>
      <c r="H38" s="17">
        <v>0.69164144992828369</v>
      </c>
      <c r="I38" s="17">
        <f t="shared" si="0"/>
        <v>-0.35017131805419921</v>
      </c>
      <c r="J38" s="17">
        <f t="shared" si="1"/>
        <v>-0.24219299814230452</v>
      </c>
      <c r="K38" s="19">
        <v>0</v>
      </c>
      <c r="L38" s="17">
        <v>9.6562909263179994E-3</v>
      </c>
      <c r="M38" s="19">
        <v>0</v>
      </c>
      <c r="N38" s="17">
        <v>7.107326169925E-3</v>
      </c>
      <c r="O38" s="19">
        <v>-3.0763864051550627E-3</v>
      </c>
      <c r="P38" s="17">
        <v>0</v>
      </c>
      <c r="Q38" s="19">
        <v>0</v>
      </c>
      <c r="R38" s="17">
        <v>0</v>
      </c>
      <c r="S38" s="19">
        <v>0</v>
      </c>
    </row>
    <row r="39" spans="1:19" x14ac:dyDescent="0.25">
      <c r="A39" s="3">
        <v>38</v>
      </c>
      <c r="B39" s="23">
        <v>62.089591863191927</v>
      </c>
      <c r="C39" s="18">
        <v>44791.602500000001</v>
      </c>
      <c r="D39" s="23">
        <v>2.0202423742709739</v>
      </c>
      <c r="E39" s="19">
        <v>8</v>
      </c>
      <c r="F39" s="17">
        <v>1</v>
      </c>
      <c r="G39" s="19">
        <v>-2.1882007122039795</v>
      </c>
      <c r="H39" s="17">
        <v>0.69194906949996948</v>
      </c>
      <c r="I39" s="17">
        <f t="shared" si="0"/>
        <v>-0.35011211395263669</v>
      </c>
      <c r="J39" s="17">
        <f t="shared" si="1"/>
        <v>-0.24225975147019424</v>
      </c>
      <c r="K39" s="19">
        <v>0</v>
      </c>
      <c r="L39" s="17">
        <v>1.0266548211131999E-2</v>
      </c>
      <c r="M39" s="19">
        <v>0</v>
      </c>
      <c r="N39" s="17">
        <v>7.5294567829149997E-3</v>
      </c>
      <c r="O39" s="19">
        <v>-3.0148625373840332E-3</v>
      </c>
      <c r="P39" s="17">
        <v>0</v>
      </c>
      <c r="Q39" s="19">
        <v>0</v>
      </c>
      <c r="R39" s="17">
        <v>0</v>
      </c>
      <c r="S39" s="19">
        <v>0</v>
      </c>
    </row>
    <row r="40" spans="1:19" x14ac:dyDescent="0.25">
      <c r="A40" s="3">
        <v>39</v>
      </c>
      <c r="B40" s="23">
        <v>63.090702228698483</v>
      </c>
      <c r="C40" s="18">
        <v>44791.602511574078</v>
      </c>
      <c r="D40" s="23">
        <v>3.0213527433577618</v>
      </c>
      <c r="E40" s="19">
        <v>8</v>
      </c>
      <c r="F40" s="17">
        <v>1</v>
      </c>
      <c r="G40" s="19">
        <v>-2.1885707378387451</v>
      </c>
      <c r="H40" s="17">
        <v>0.69194906949996948</v>
      </c>
      <c r="I40" s="17">
        <f t="shared" si="0"/>
        <v>-0.35017131805419921</v>
      </c>
      <c r="J40" s="17">
        <f t="shared" si="1"/>
        <v>-0.24230071769318101</v>
      </c>
      <c r="K40" s="19">
        <v>0</v>
      </c>
      <c r="L40" s="17">
        <v>1.0875142629790001E-2</v>
      </c>
      <c r="M40" s="19">
        <v>0</v>
      </c>
      <c r="N40" s="17">
        <v>7.950575954137E-3</v>
      </c>
      <c r="O40" s="19">
        <v>6.1523911426775157E-5</v>
      </c>
      <c r="P40" s="17">
        <v>0</v>
      </c>
      <c r="Q40" s="19">
        <v>0</v>
      </c>
      <c r="R40" s="17">
        <v>0</v>
      </c>
      <c r="S40" s="19">
        <v>0</v>
      </c>
    </row>
    <row r="41" spans="1:19" x14ac:dyDescent="0.25">
      <c r="A41" s="3">
        <v>40</v>
      </c>
      <c r="B41" s="23">
        <v>64.095639428092696</v>
      </c>
      <c r="C41" s="18">
        <v>44791.602523148147</v>
      </c>
      <c r="D41" s="23">
        <v>4.0262899391717477</v>
      </c>
      <c r="E41" s="19">
        <v>8</v>
      </c>
      <c r="F41" s="17">
        <v>1</v>
      </c>
      <c r="G41" s="19">
        <v>-2.1882007122039795</v>
      </c>
      <c r="H41" s="17">
        <v>0.69225674867630005</v>
      </c>
      <c r="I41" s="17">
        <f t="shared" si="0"/>
        <v>-0.35011211395263669</v>
      </c>
      <c r="J41" s="17">
        <f t="shared" si="1"/>
        <v>-0.24236747367703854</v>
      </c>
      <c r="K41" s="19">
        <v>0</v>
      </c>
      <c r="L41" s="17">
        <v>1.1486048822533E-2</v>
      </c>
      <c r="M41" s="19">
        <v>0</v>
      </c>
      <c r="N41" s="17">
        <v>8.3733963354239993E-3</v>
      </c>
      <c r="O41" s="19">
        <v>1.2305975542403758E-4</v>
      </c>
      <c r="P41" s="17">
        <v>0</v>
      </c>
      <c r="Q41" s="19">
        <v>0</v>
      </c>
      <c r="R41" s="17">
        <v>0</v>
      </c>
      <c r="S41" s="19">
        <v>0</v>
      </c>
    </row>
    <row r="42" spans="1:19" x14ac:dyDescent="0.25">
      <c r="A42" s="3">
        <v>41</v>
      </c>
      <c r="B42" s="23">
        <v>65.071229249832626</v>
      </c>
      <c r="C42" s="18">
        <v>44791.602534722224</v>
      </c>
      <c r="D42" s="23">
        <v>5.0018797644919104</v>
      </c>
      <c r="E42" s="19">
        <v>8</v>
      </c>
      <c r="F42" s="17">
        <v>1</v>
      </c>
      <c r="G42" s="19">
        <v>-2.1885707378387451</v>
      </c>
      <c r="H42" s="17">
        <v>0.69225674867630005</v>
      </c>
      <c r="I42" s="17">
        <f t="shared" si="0"/>
        <v>-0.35017131805419921</v>
      </c>
      <c r="J42" s="17">
        <f t="shared" si="1"/>
        <v>-0.24240845811589451</v>
      </c>
      <c r="K42" s="19">
        <v>0</v>
      </c>
      <c r="L42" s="17">
        <v>1.2079117059872E-2</v>
      </c>
      <c r="M42" s="19">
        <v>0</v>
      </c>
      <c r="N42" s="17">
        <v>8.7839313119650007E-3</v>
      </c>
      <c r="O42" s="19">
        <v>6.1535836721304804E-5</v>
      </c>
      <c r="P42" s="17">
        <v>0</v>
      </c>
      <c r="Q42" s="19">
        <v>0</v>
      </c>
      <c r="R42" s="17">
        <v>0</v>
      </c>
      <c r="S42" s="19">
        <v>0</v>
      </c>
    </row>
    <row r="43" spans="1:19" x14ac:dyDescent="0.25">
      <c r="A43" s="3">
        <v>42</v>
      </c>
      <c r="B43" s="23">
        <v>66.075200299307937</v>
      </c>
      <c r="C43" s="18">
        <v>44791.602546296293</v>
      </c>
      <c r="D43" s="23">
        <v>1.001094050001611</v>
      </c>
      <c r="E43" s="19">
        <v>9</v>
      </c>
      <c r="F43" s="17">
        <v>1</v>
      </c>
      <c r="G43" s="19">
        <v>-2.5007410049438477</v>
      </c>
      <c r="H43" s="17">
        <v>0.67810535430908203</v>
      </c>
      <c r="I43" s="17">
        <f t="shared" si="0"/>
        <v>-0.4001185607910156</v>
      </c>
      <c r="J43" s="17">
        <f t="shared" si="1"/>
        <v>-0.27132253843083159</v>
      </c>
      <c r="K43" s="19">
        <v>0</v>
      </c>
      <c r="L43" s="17">
        <v>1.2773513367779999E-2</v>
      </c>
      <c r="M43" s="19">
        <v>0</v>
      </c>
      <c r="N43" s="17">
        <v>9.2550950310370007E-3</v>
      </c>
      <c r="O43" s="19">
        <v>-2.8918026946485043E-3</v>
      </c>
      <c r="P43" s="17">
        <v>0</v>
      </c>
      <c r="Q43" s="19">
        <v>0</v>
      </c>
      <c r="R43" s="17">
        <v>0</v>
      </c>
      <c r="S43" s="19">
        <v>0</v>
      </c>
    </row>
    <row r="44" spans="1:19" x14ac:dyDescent="0.25">
      <c r="A44" s="3">
        <v>43</v>
      </c>
      <c r="B44" s="23">
        <v>67.07706574033962</v>
      </c>
      <c r="C44" s="18">
        <v>44791.60255787037</v>
      </c>
      <c r="D44" s="23">
        <v>2.0029594946135312</v>
      </c>
      <c r="E44" s="19">
        <v>9</v>
      </c>
      <c r="F44" s="17">
        <v>1</v>
      </c>
      <c r="G44" s="19">
        <v>-2.5011107921600342</v>
      </c>
      <c r="H44" s="17">
        <v>0.6784130334854126</v>
      </c>
      <c r="I44" s="17">
        <f t="shared" si="0"/>
        <v>-0.40017772674560548</v>
      </c>
      <c r="J44" s="17">
        <f t="shared" si="1"/>
        <v>-0.27148578553478275</v>
      </c>
      <c r="K44" s="19">
        <v>0</v>
      </c>
      <c r="L44" s="17">
        <v>1.3469571293363999E-2</v>
      </c>
      <c r="M44" s="19">
        <v>0</v>
      </c>
      <c r="N44" s="17">
        <v>9.7271443397559994E-3</v>
      </c>
      <c r="O44" s="19">
        <v>-2.8302669525146484E-3</v>
      </c>
      <c r="P44" s="17">
        <v>0</v>
      </c>
      <c r="Q44" s="19">
        <v>0</v>
      </c>
      <c r="R44" s="17">
        <v>0</v>
      </c>
      <c r="S44" s="19">
        <v>0</v>
      </c>
    </row>
    <row r="45" spans="1:19" x14ac:dyDescent="0.25">
      <c r="A45" s="3">
        <v>44</v>
      </c>
      <c r="B45" s="23">
        <v>68.080124694337144</v>
      </c>
      <c r="C45" s="18">
        <v>44791.602569444447</v>
      </c>
      <c r="D45" s="23">
        <v>3.0060184486110471</v>
      </c>
      <c r="E45" s="19">
        <v>9</v>
      </c>
      <c r="F45" s="17">
        <v>1</v>
      </c>
      <c r="G45" s="19">
        <v>-2.5011107921600342</v>
      </c>
      <c r="H45" s="17">
        <v>0.6784130334854126</v>
      </c>
      <c r="I45" s="17">
        <f t="shared" si="0"/>
        <v>-0.40017772674560548</v>
      </c>
      <c r="J45" s="17">
        <f t="shared" si="1"/>
        <v>-0.27148578553478275</v>
      </c>
      <c r="K45" s="19">
        <v>0</v>
      </c>
      <c r="L45" s="17">
        <v>1.4166454246445999E-2</v>
      </c>
      <c r="M45" s="19">
        <v>0</v>
      </c>
      <c r="N45" s="17">
        <v>1.0199909084566999E-2</v>
      </c>
      <c r="O45" s="19">
        <v>6.1535836721304804E-5</v>
      </c>
      <c r="P45" s="17">
        <v>0</v>
      </c>
      <c r="Q45" s="19">
        <v>0</v>
      </c>
      <c r="R45" s="17">
        <v>0</v>
      </c>
      <c r="S45" s="19">
        <v>0</v>
      </c>
    </row>
    <row r="46" spans="1:19" x14ac:dyDescent="0.25">
      <c r="A46" s="3">
        <v>45</v>
      </c>
      <c r="B46" s="23">
        <v>69.085995454887211</v>
      </c>
      <c r="C46" s="18">
        <v>44791.602581018517</v>
      </c>
      <c r="D46" s="23">
        <v>4.0118892091611142</v>
      </c>
      <c r="E46" s="19">
        <v>9</v>
      </c>
      <c r="F46" s="17">
        <v>1</v>
      </c>
      <c r="G46" s="19">
        <v>-2.5011107921600342</v>
      </c>
      <c r="H46" s="17">
        <v>0.67872065305709839</v>
      </c>
      <c r="I46" s="17">
        <f t="shared" si="0"/>
        <v>-0.40017772674560548</v>
      </c>
      <c r="J46" s="17">
        <f t="shared" si="1"/>
        <v>-0.27160888803568239</v>
      </c>
      <c r="K46" s="19">
        <v>0</v>
      </c>
      <c r="L46" s="17">
        <v>1.4865273021365999E-2</v>
      </c>
      <c r="M46" s="19">
        <v>0</v>
      </c>
      <c r="N46" s="17">
        <v>1.0674129888105E-2</v>
      </c>
      <c r="O46" s="19">
        <v>1.2305975542403758E-4</v>
      </c>
      <c r="P46" s="17">
        <v>0</v>
      </c>
      <c r="Q46" s="19">
        <v>0</v>
      </c>
      <c r="R46" s="17">
        <v>0</v>
      </c>
      <c r="S46" s="19">
        <v>0</v>
      </c>
    </row>
    <row r="47" spans="1:19" x14ac:dyDescent="0.25">
      <c r="A47" s="3">
        <v>46</v>
      </c>
      <c r="B47" s="23">
        <v>70.076183975926469</v>
      </c>
      <c r="C47" s="18">
        <v>44791.602592592593</v>
      </c>
      <c r="D47" s="23">
        <v>5.0020777302003863</v>
      </c>
      <c r="E47" s="19">
        <v>9</v>
      </c>
      <c r="F47" s="17">
        <v>1</v>
      </c>
      <c r="G47" s="19">
        <v>-2.5011107921600342</v>
      </c>
      <c r="H47" s="17">
        <v>0.67902827262878418</v>
      </c>
      <c r="I47" s="17">
        <f t="shared" si="0"/>
        <v>-0.40017772674560548</v>
      </c>
      <c r="J47" s="17">
        <f t="shared" si="1"/>
        <v>-0.27173199053658209</v>
      </c>
      <c r="K47" s="19">
        <v>0</v>
      </c>
      <c r="L47" s="17">
        <v>1.5553207947538001E-2</v>
      </c>
      <c r="M47" s="19">
        <v>0</v>
      </c>
      <c r="N47" s="17">
        <v>1.1141080658639E-2</v>
      </c>
      <c r="O47" s="19">
        <v>1.2304782285355031E-4</v>
      </c>
      <c r="P47" s="17">
        <v>0</v>
      </c>
      <c r="Q47" s="19">
        <v>0</v>
      </c>
      <c r="R47" s="17">
        <v>0</v>
      </c>
      <c r="S47" s="19">
        <v>0</v>
      </c>
    </row>
    <row r="48" spans="1:19" x14ac:dyDescent="0.25">
      <c r="A48" s="3">
        <v>47</v>
      </c>
      <c r="B48" s="23">
        <v>71.085075549835139</v>
      </c>
      <c r="C48" s="18">
        <v>44791.60260416667</v>
      </c>
      <c r="D48" s="23">
        <v>1.005693553064505</v>
      </c>
      <c r="E48" s="19">
        <v>10</v>
      </c>
      <c r="F48" s="17">
        <v>1</v>
      </c>
      <c r="G48" s="19">
        <v>-2.8136510848999023</v>
      </c>
      <c r="H48" s="17">
        <v>0.66549223661422729</v>
      </c>
      <c r="I48" s="17">
        <f t="shared" si="0"/>
        <v>-0.45018417358398438</v>
      </c>
      <c r="J48" s="17">
        <f t="shared" si="1"/>
        <v>-0.29959407256673332</v>
      </c>
      <c r="K48" s="19">
        <v>0</v>
      </c>
      <c r="L48" s="17">
        <v>1.6339165201964E-2</v>
      </c>
      <c r="M48" s="19">
        <v>0</v>
      </c>
      <c r="N48" s="17">
        <v>1.1664403057905001E-2</v>
      </c>
      <c r="O48" s="19">
        <v>-2.64568324200809E-3</v>
      </c>
      <c r="P48" s="17">
        <v>0</v>
      </c>
      <c r="Q48" s="19">
        <v>0</v>
      </c>
      <c r="R48" s="17">
        <v>0</v>
      </c>
      <c r="S48" s="19">
        <v>0</v>
      </c>
    </row>
    <row r="49" spans="1:19" x14ac:dyDescent="0.25">
      <c r="A49" s="3">
        <v>48</v>
      </c>
      <c r="B49" s="23">
        <v>72.088081746511946</v>
      </c>
      <c r="C49" s="18">
        <v>44791.60261574074</v>
      </c>
      <c r="D49" s="23">
        <v>2.0086996820748202</v>
      </c>
      <c r="E49" s="19">
        <v>10</v>
      </c>
      <c r="F49" s="17">
        <v>1</v>
      </c>
      <c r="G49" s="19">
        <v>-2.8136510848999023</v>
      </c>
      <c r="H49" s="17">
        <v>0.66579985618591309</v>
      </c>
      <c r="I49" s="17">
        <f t="shared" si="0"/>
        <v>-0.45018417358398438</v>
      </c>
      <c r="J49" s="17">
        <f t="shared" si="1"/>
        <v>-0.29973255802939092</v>
      </c>
      <c r="K49" s="19">
        <v>0</v>
      </c>
      <c r="L49" s="17">
        <v>1.7123114998149998E-2</v>
      </c>
      <c r="M49" s="19">
        <v>0</v>
      </c>
      <c r="N49" s="17">
        <v>1.2186181340095E-2</v>
      </c>
      <c r="O49" s="19">
        <v>-2.5841593742370605E-3</v>
      </c>
      <c r="P49" s="17">
        <v>0</v>
      </c>
      <c r="Q49" s="19">
        <v>0</v>
      </c>
      <c r="R49" s="17">
        <v>0</v>
      </c>
      <c r="S49" s="19">
        <v>0</v>
      </c>
    </row>
    <row r="50" spans="1:19" x14ac:dyDescent="0.25">
      <c r="A50" s="3">
        <v>49</v>
      </c>
      <c r="B50" s="23">
        <v>73.089095671849662</v>
      </c>
      <c r="C50" s="18">
        <v>44791.602627314816</v>
      </c>
      <c r="D50" s="23">
        <v>3.0097136038322869</v>
      </c>
      <c r="E50" s="19">
        <v>10</v>
      </c>
      <c r="F50" s="17">
        <v>1</v>
      </c>
      <c r="G50" s="19">
        <v>-2.8132810592651367</v>
      </c>
      <c r="H50" s="17">
        <v>0.66610747575759888</v>
      </c>
      <c r="I50" s="17">
        <f t="shared" si="0"/>
        <v>-0.45012496948242187</v>
      </c>
      <c r="J50" s="17">
        <f t="shared" si="1"/>
        <v>-0.29983160719740226</v>
      </c>
      <c r="K50" s="19">
        <v>0</v>
      </c>
      <c r="L50" s="17">
        <v>1.7905505306654999E-2</v>
      </c>
      <c r="M50" s="19">
        <v>0</v>
      </c>
      <c r="N50" s="17">
        <v>1.2707068612492E-2</v>
      </c>
      <c r="O50" s="19">
        <v>1.2304782285355031E-4</v>
      </c>
      <c r="P50" s="17">
        <v>0</v>
      </c>
      <c r="Q50" s="19">
        <v>0</v>
      </c>
      <c r="R50" s="17">
        <v>0</v>
      </c>
      <c r="S50" s="19">
        <v>0</v>
      </c>
    </row>
    <row r="51" spans="1:19" x14ac:dyDescent="0.25">
      <c r="A51" s="3">
        <v>50</v>
      </c>
      <c r="B51" s="23">
        <v>74.099883317878636</v>
      </c>
      <c r="C51" s="18">
        <v>44791.602638888886</v>
      </c>
      <c r="D51" s="23">
        <v>4.0205012498612662</v>
      </c>
      <c r="E51" s="19">
        <v>10</v>
      </c>
      <c r="F51" s="17">
        <v>1</v>
      </c>
      <c r="G51" s="19">
        <v>-2.8140208721160889</v>
      </c>
      <c r="H51" s="17">
        <v>0.66641515493392944</v>
      </c>
      <c r="I51" s="17">
        <f t="shared" si="0"/>
        <v>-0.45024333953857421</v>
      </c>
      <c r="J51" s="17">
        <f t="shared" si="1"/>
        <v>-0.30004898487656873</v>
      </c>
      <c r="K51" s="19">
        <v>0</v>
      </c>
      <c r="L51" s="17">
        <v>1.8695546922987999E-2</v>
      </c>
      <c r="M51" s="19">
        <v>0</v>
      </c>
      <c r="N51" s="17">
        <v>1.3233201590619E-2</v>
      </c>
      <c r="O51" s="19">
        <v>1.2305975542403758E-4</v>
      </c>
      <c r="P51" s="17">
        <v>0</v>
      </c>
      <c r="Q51" s="19">
        <v>0</v>
      </c>
      <c r="R51" s="17">
        <v>0</v>
      </c>
      <c r="S51" s="19">
        <v>0</v>
      </c>
    </row>
    <row r="52" spans="1:19" x14ac:dyDescent="0.25">
      <c r="A52" s="3">
        <v>51</v>
      </c>
      <c r="B52" s="23">
        <v>75.091119989187675</v>
      </c>
      <c r="C52" s="18">
        <v>44791.602650462963</v>
      </c>
      <c r="D52" s="23">
        <v>5.0117379211703081</v>
      </c>
      <c r="E52" s="19">
        <v>10</v>
      </c>
      <c r="F52" s="17">
        <v>1</v>
      </c>
      <c r="G52" s="19">
        <v>-2.8136510848999023</v>
      </c>
      <c r="H52" s="17">
        <v>0.66610747575759888</v>
      </c>
      <c r="I52" s="17">
        <f t="shared" si="0"/>
        <v>-0.45018417358398438</v>
      </c>
      <c r="J52" s="17">
        <f t="shared" si="1"/>
        <v>-0.29987104349204857</v>
      </c>
      <c r="K52" s="19">
        <v>0</v>
      </c>
      <c r="L52" s="17">
        <v>1.9470295634784002E-2</v>
      </c>
      <c r="M52" s="19">
        <v>0</v>
      </c>
      <c r="N52" s="17">
        <v>1.3749265768894001E-2</v>
      </c>
      <c r="O52" s="19">
        <v>0</v>
      </c>
      <c r="P52" s="17">
        <v>0</v>
      </c>
      <c r="Q52" s="19">
        <v>0</v>
      </c>
      <c r="R52" s="17">
        <v>0</v>
      </c>
      <c r="S52" s="19">
        <v>0</v>
      </c>
    </row>
    <row r="53" spans="1:19" x14ac:dyDescent="0.25">
      <c r="A53" s="3">
        <v>52</v>
      </c>
      <c r="B53" s="23">
        <v>76.109708147548787</v>
      </c>
      <c r="C53" s="18">
        <v>44791.602662037039</v>
      </c>
      <c r="D53" s="23">
        <v>1.015416745491585</v>
      </c>
      <c r="E53" s="19">
        <v>11</v>
      </c>
      <c r="F53" s="17">
        <v>1</v>
      </c>
      <c r="G53" s="19">
        <v>-3.1258213520050049</v>
      </c>
      <c r="H53" s="17">
        <v>0.65349435806274414</v>
      </c>
      <c r="I53" s="17">
        <f t="shared" si="0"/>
        <v>-0.50013141632080083</v>
      </c>
      <c r="J53" s="17">
        <f t="shared" si="1"/>
        <v>-0.32683305885557279</v>
      </c>
      <c r="K53" s="19">
        <v>0</v>
      </c>
      <c r="L53" s="17">
        <v>2.0354528854282999E-2</v>
      </c>
      <c r="M53" s="19">
        <v>0</v>
      </c>
      <c r="N53" s="17">
        <v>1.4327138604205999E-2</v>
      </c>
      <c r="O53" s="19">
        <v>-2.4610757827758789E-4</v>
      </c>
      <c r="P53" s="17">
        <v>0</v>
      </c>
      <c r="Q53" s="19">
        <v>0</v>
      </c>
      <c r="R53" s="17">
        <v>0</v>
      </c>
      <c r="S53" s="19">
        <v>0</v>
      </c>
    </row>
    <row r="54" spans="1:19" x14ac:dyDescent="0.25">
      <c r="A54" s="3">
        <v>53</v>
      </c>
      <c r="B54" s="23">
        <v>77.112694559111517</v>
      </c>
      <c r="C54" s="18">
        <v>44791.602673611109</v>
      </c>
      <c r="D54" s="23">
        <v>2.0184032401158571</v>
      </c>
      <c r="E54" s="19">
        <v>11</v>
      </c>
      <c r="F54" s="17">
        <v>1</v>
      </c>
      <c r="G54" s="19">
        <v>-3.1261911392211914</v>
      </c>
      <c r="H54" s="17">
        <v>0.65380197763442993</v>
      </c>
      <c r="I54" s="17">
        <f t="shared" si="0"/>
        <v>-0.50019058227539059</v>
      </c>
      <c r="J54" s="17">
        <f t="shared" si="1"/>
        <v>-0.32702559188576741</v>
      </c>
      <c r="K54" s="19">
        <v>0</v>
      </c>
      <c r="L54" s="17">
        <v>2.1225507988155E-2</v>
      </c>
      <c r="M54" s="19">
        <v>0</v>
      </c>
      <c r="N54" s="17">
        <v>1.4896471389882E-2</v>
      </c>
      <c r="O54" s="19">
        <v>-1.8458366685081273E-4</v>
      </c>
      <c r="P54" s="17">
        <v>0</v>
      </c>
      <c r="Q54" s="19">
        <v>0</v>
      </c>
      <c r="R54" s="17">
        <v>0</v>
      </c>
      <c r="S54" s="19">
        <v>0</v>
      </c>
    </row>
    <row r="55" spans="1:19" x14ac:dyDescent="0.25">
      <c r="A55" s="3">
        <v>54</v>
      </c>
      <c r="B55" s="23">
        <v>78.116611471800255</v>
      </c>
      <c r="C55" s="18">
        <v>44791.602685185186</v>
      </c>
      <c r="D55" s="23">
        <v>3.0223200661628078</v>
      </c>
      <c r="E55" s="19">
        <v>11</v>
      </c>
      <c r="F55" s="17">
        <v>1</v>
      </c>
      <c r="G55" s="19">
        <v>-3.1258213520050049</v>
      </c>
      <c r="H55" s="17">
        <v>0.65380197763442993</v>
      </c>
      <c r="I55" s="17">
        <f t="shared" si="0"/>
        <v>-0.50013141632080083</v>
      </c>
      <c r="J55" s="17">
        <f t="shared" si="1"/>
        <v>-0.32698690906764799</v>
      </c>
      <c r="K55" s="19">
        <v>0</v>
      </c>
      <c r="L55" s="17">
        <v>2.2097280488491002E-2</v>
      </c>
      <c r="M55" s="19">
        <v>0</v>
      </c>
      <c r="N55" s="17">
        <v>1.5466517225678E-2</v>
      </c>
      <c r="O55" s="19">
        <v>6.1523911426775157E-5</v>
      </c>
      <c r="P55" s="17">
        <v>0</v>
      </c>
      <c r="Q55" s="19">
        <v>0</v>
      </c>
      <c r="R55" s="17">
        <v>0</v>
      </c>
      <c r="S55" s="19">
        <v>0</v>
      </c>
    </row>
    <row r="56" spans="1:19" x14ac:dyDescent="0.25">
      <c r="A56" s="3">
        <v>55</v>
      </c>
      <c r="B56" s="23">
        <v>79.120620561309792</v>
      </c>
      <c r="C56" s="18">
        <v>44791.602696759262</v>
      </c>
      <c r="D56" s="23">
        <v>4.0263291556723511</v>
      </c>
      <c r="E56" s="19">
        <v>11</v>
      </c>
      <c r="F56" s="17">
        <v>1</v>
      </c>
      <c r="G56" s="19">
        <v>-3.1261911392211914</v>
      </c>
      <c r="H56" s="17">
        <v>0.65410959720611572</v>
      </c>
      <c r="I56" s="17">
        <f t="shared" si="0"/>
        <v>-0.50019058227539059</v>
      </c>
      <c r="J56" s="17">
        <f t="shared" si="1"/>
        <v>-0.32717946029844824</v>
      </c>
      <c r="K56" s="19">
        <v>0</v>
      </c>
      <c r="L56" s="17">
        <v>2.2969157180439001E-2</v>
      </c>
      <c r="M56" s="19">
        <v>0</v>
      </c>
      <c r="N56" s="17">
        <v>1.6036788914642001E-2</v>
      </c>
      <c r="O56" s="19">
        <v>6.1523911426775157E-5</v>
      </c>
      <c r="P56" s="17">
        <v>0</v>
      </c>
      <c r="Q56" s="19">
        <v>0</v>
      </c>
      <c r="R56" s="17">
        <v>0</v>
      </c>
      <c r="S56" s="19">
        <v>0</v>
      </c>
    </row>
    <row r="57" spans="1:19" x14ac:dyDescent="0.25">
      <c r="A57" s="3">
        <v>56</v>
      </c>
      <c r="B57" s="23">
        <v>80.095178130471041</v>
      </c>
      <c r="C57" s="18">
        <v>44791.602708333325</v>
      </c>
      <c r="D57" s="23">
        <v>5.000886728413847</v>
      </c>
      <c r="E57" s="19">
        <v>11</v>
      </c>
      <c r="F57" s="17">
        <v>1</v>
      </c>
      <c r="G57" s="19">
        <v>-3.1265609264373779</v>
      </c>
      <c r="H57" s="17">
        <v>0.65410959720611572</v>
      </c>
      <c r="I57" s="17">
        <f t="shared" si="0"/>
        <v>-0.50024974822998047</v>
      </c>
      <c r="J57" s="17">
        <f t="shared" si="1"/>
        <v>-0.32721816131717335</v>
      </c>
      <c r="K57" s="19">
        <v>0</v>
      </c>
      <c r="L57" s="17">
        <v>2.3815447266650001E-2</v>
      </c>
      <c r="M57" s="19">
        <v>0</v>
      </c>
      <c r="N57" s="17">
        <v>1.6590472544015002E-2</v>
      </c>
      <c r="O57" s="19">
        <v>6.1523911426775157E-5</v>
      </c>
      <c r="P57" s="17">
        <v>0</v>
      </c>
      <c r="Q57" s="19">
        <v>0</v>
      </c>
      <c r="R57" s="17">
        <v>0</v>
      </c>
      <c r="S57" s="19">
        <v>0</v>
      </c>
    </row>
    <row r="58" spans="1:19" x14ac:dyDescent="0.25">
      <c r="A58" s="3">
        <v>57</v>
      </c>
      <c r="B58" s="23">
        <v>81.104987578004454</v>
      </c>
      <c r="C58" s="18">
        <v>44791.602719907409</v>
      </c>
      <c r="D58" s="23">
        <v>1.0066029121660089</v>
      </c>
      <c r="E58" s="19">
        <v>12</v>
      </c>
      <c r="F58" s="17">
        <v>1</v>
      </c>
      <c r="G58" s="19">
        <v>-3.4391012191772461</v>
      </c>
      <c r="H58" s="17">
        <v>0.64241933822631836</v>
      </c>
      <c r="I58" s="17">
        <f t="shared" si="0"/>
        <v>-0.55025619506835932</v>
      </c>
      <c r="J58" s="17">
        <f t="shared" si="1"/>
        <v>-0.35349522069074735</v>
      </c>
      <c r="K58" s="19">
        <v>0</v>
      </c>
      <c r="L58" s="17">
        <v>2.4776212000128001E-2</v>
      </c>
      <c r="M58" s="19">
        <v>0</v>
      </c>
      <c r="N58" s="17">
        <v>1.7207978028192E-2</v>
      </c>
      <c r="O58" s="19">
        <v>-2.3995875380933285E-3</v>
      </c>
      <c r="P58" s="17">
        <v>0</v>
      </c>
      <c r="Q58" s="19">
        <v>0</v>
      </c>
      <c r="R58" s="17">
        <v>0</v>
      </c>
      <c r="S58" s="19">
        <v>0</v>
      </c>
    </row>
    <row r="59" spans="1:19" x14ac:dyDescent="0.25">
      <c r="A59" s="3">
        <v>58</v>
      </c>
      <c r="B59" s="23">
        <v>82.109903958669733</v>
      </c>
      <c r="C59" s="18">
        <v>44791.602731481478</v>
      </c>
      <c r="D59" s="23">
        <v>2.011519296769551</v>
      </c>
      <c r="E59" s="19">
        <v>12</v>
      </c>
      <c r="F59" s="17">
        <v>1</v>
      </c>
      <c r="G59" s="19">
        <v>-3.4391012191772461</v>
      </c>
      <c r="H59" s="17">
        <v>0.64211171865463257</v>
      </c>
      <c r="I59" s="17">
        <f t="shared" si="0"/>
        <v>-0.55025619506835932</v>
      </c>
      <c r="J59" s="17">
        <f t="shared" si="1"/>
        <v>-0.35332595111570297</v>
      </c>
      <c r="K59" s="19">
        <v>0</v>
      </c>
      <c r="L59" s="17">
        <v>2.5736246884429E-2</v>
      </c>
      <c r="M59" s="19">
        <v>0</v>
      </c>
      <c r="N59" s="17">
        <v>1.7824656146969001E-2</v>
      </c>
      <c r="O59" s="19">
        <v>-2.4611116386950016E-3</v>
      </c>
      <c r="P59" s="17">
        <v>0</v>
      </c>
      <c r="Q59" s="19">
        <v>0</v>
      </c>
      <c r="R59" s="17">
        <v>0</v>
      </c>
      <c r="S59" s="19">
        <v>0</v>
      </c>
    </row>
    <row r="60" spans="1:19" x14ac:dyDescent="0.25">
      <c r="A60" s="3">
        <v>59</v>
      </c>
      <c r="B60" s="23">
        <v>83.115842739097275</v>
      </c>
      <c r="C60" s="18">
        <v>44791.602743055555</v>
      </c>
      <c r="D60" s="23">
        <v>3.0174580771971029</v>
      </c>
      <c r="E60" s="19">
        <v>12</v>
      </c>
      <c r="F60" s="17">
        <v>1</v>
      </c>
      <c r="G60" s="19">
        <v>-3.4394710063934326</v>
      </c>
      <c r="H60" s="17">
        <v>0.64241933822631836</v>
      </c>
      <c r="I60" s="17">
        <f t="shared" si="0"/>
        <v>-0.5503153610229492</v>
      </c>
      <c r="J60" s="17">
        <f t="shared" si="1"/>
        <v>-0.3535332300441405</v>
      </c>
      <c r="K60" s="19">
        <v>0</v>
      </c>
      <c r="L60" s="17">
        <v>2.6697230157046E-2</v>
      </c>
      <c r="M60" s="19">
        <v>0</v>
      </c>
      <c r="N60" s="17">
        <v>1.8442128533962002E-2</v>
      </c>
      <c r="O60" s="19">
        <v>0</v>
      </c>
      <c r="P60" s="17">
        <v>0</v>
      </c>
      <c r="Q60" s="19">
        <v>0</v>
      </c>
      <c r="R60" s="17">
        <v>0</v>
      </c>
      <c r="S60" s="19">
        <v>0</v>
      </c>
    </row>
    <row r="61" spans="1:19" x14ac:dyDescent="0.25">
      <c r="A61" s="3">
        <v>60</v>
      </c>
      <c r="B61" s="23">
        <v>84.121704297002253</v>
      </c>
      <c r="C61" s="18">
        <v>44791.602754629632</v>
      </c>
      <c r="D61" s="23">
        <v>4.0233196311638277</v>
      </c>
      <c r="E61" s="19">
        <v>12</v>
      </c>
      <c r="F61" s="17">
        <v>1</v>
      </c>
      <c r="G61" s="19">
        <v>-3.4391012191772461</v>
      </c>
      <c r="H61" s="17">
        <v>0.64272701740264893</v>
      </c>
      <c r="I61" s="17">
        <f t="shared" si="0"/>
        <v>-0.55025619506835932</v>
      </c>
      <c r="J61" s="17">
        <f t="shared" si="1"/>
        <v>-0.35366452306361679</v>
      </c>
      <c r="K61" s="19">
        <v>0</v>
      </c>
      <c r="L61" s="17">
        <v>2.7658152410330001E-2</v>
      </c>
      <c r="M61" s="19">
        <v>0</v>
      </c>
      <c r="N61" s="17">
        <v>1.9059700226609001E-2</v>
      </c>
      <c r="O61" s="19">
        <v>1.2305975542403758E-4</v>
      </c>
      <c r="P61" s="17">
        <v>0</v>
      </c>
      <c r="Q61" s="19">
        <v>0</v>
      </c>
      <c r="R61" s="17">
        <v>0</v>
      </c>
      <c r="S61" s="19">
        <v>0</v>
      </c>
    </row>
    <row r="62" spans="1:19" x14ac:dyDescent="0.25">
      <c r="A62" s="3">
        <v>61</v>
      </c>
      <c r="B62" s="23">
        <v>85.110070837167186</v>
      </c>
      <c r="C62" s="18">
        <v>44791.602766203701</v>
      </c>
      <c r="D62" s="23">
        <v>5.0116861752669966</v>
      </c>
      <c r="E62" s="19">
        <v>12</v>
      </c>
      <c r="F62" s="17">
        <v>1</v>
      </c>
      <c r="G62" s="19">
        <v>-3.4391012191772461</v>
      </c>
      <c r="H62" s="17">
        <v>0.64272701740264893</v>
      </c>
      <c r="I62" s="17">
        <f t="shared" si="0"/>
        <v>-0.55025619506835932</v>
      </c>
      <c r="J62" s="17">
        <f t="shared" si="1"/>
        <v>-0.35366452306361679</v>
      </c>
      <c r="K62" s="19">
        <v>0</v>
      </c>
      <c r="L62" s="17">
        <v>2.8602346232760999E-2</v>
      </c>
      <c r="M62" s="19">
        <v>0</v>
      </c>
      <c r="N62" s="17">
        <v>1.9666692988629001E-2</v>
      </c>
      <c r="O62" s="19">
        <v>6.1535836721304804E-5</v>
      </c>
      <c r="P62" s="17">
        <v>0</v>
      </c>
      <c r="Q62" s="19">
        <v>0</v>
      </c>
      <c r="R62" s="17">
        <v>0</v>
      </c>
      <c r="S62" s="19">
        <v>0</v>
      </c>
    </row>
    <row r="63" spans="1:19" x14ac:dyDescent="0.25">
      <c r="A63" s="3">
        <v>62</v>
      </c>
      <c r="B63" s="23">
        <v>86.115945007536396</v>
      </c>
      <c r="C63" s="18">
        <v>44791.602777777778</v>
      </c>
      <c r="D63" s="23">
        <v>1.0030022494638591</v>
      </c>
      <c r="E63" s="19">
        <v>13</v>
      </c>
      <c r="F63" s="17">
        <v>1</v>
      </c>
      <c r="G63" s="19">
        <v>-3.7516412734985352</v>
      </c>
      <c r="H63" s="17">
        <v>0.63134437799453735</v>
      </c>
      <c r="I63" s="17">
        <f t="shared" si="0"/>
        <v>-0.60026260375976559</v>
      </c>
      <c r="J63" s="17">
        <f t="shared" si="1"/>
        <v>-0.37897242020409067</v>
      </c>
      <c r="K63" s="19">
        <v>0</v>
      </c>
      <c r="L63" s="17">
        <v>2.9648059900025E-2</v>
      </c>
      <c r="M63" s="19">
        <v>0</v>
      </c>
      <c r="N63" s="17">
        <v>2.0327262870257001E-2</v>
      </c>
      <c r="O63" s="19">
        <v>-2.3380517959594727E-3</v>
      </c>
      <c r="P63" s="17">
        <v>0</v>
      </c>
      <c r="Q63" s="19">
        <v>0</v>
      </c>
      <c r="R63" s="17">
        <v>0</v>
      </c>
      <c r="S63" s="19">
        <v>0</v>
      </c>
    </row>
    <row r="64" spans="1:19" x14ac:dyDescent="0.25">
      <c r="A64" s="3">
        <v>63</v>
      </c>
      <c r="B64" s="23">
        <v>87.118899638395916</v>
      </c>
      <c r="C64" s="18">
        <v>44791.602789351855</v>
      </c>
      <c r="D64" s="23">
        <v>2.0059568803233669</v>
      </c>
      <c r="E64" s="19">
        <v>13</v>
      </c>
      <c r="F64" s="17">
        <v>1</v>
      </c>
      <c r="G64" s="19">
        <v>-3.7516412734985352</v>
      </c>
      <c r="H64" s="17">
        <v>0.63165205717086792</v>
      </c>
      <c r="I64" s="17">
        <f t="shared" si="0"/>
        <v>-0.60026260375976559</v>
      </c>
      <c r="J64" s="17">
        <f t="shared" si="1"/>
        <v>-0.37915710850759748</v>
      </c>
      <c r="K64" s="19">
        <v>0</v>
      </c>
      <c r="L64" s="17">
        <v>3.0693293945415E-2</v>
      </c>
      <c r="M64" s="19">
        <v>0</v>
      </c>
      <c r="N64" s="17">
        <v>2.0987258446814001E-2</v>
      </c>
      <c r="O64" s="19">
        <v>-2.2765160538256168E-3</v>
      </c>
      <c r="P64" s="17">
        <v>0</v>
      </c>
      <c r="Q64" s="19">
        <v>0</v>
      </c>
      <c r="R64" s="17">
        <v>0</v>
      </c>
      <c r="S64" s="19">
        <v>0</v>
      </c>
    </row>
    <row r="65" spans="1:19" x14ac:dyDescent="0.25">
      <c r="A65" s="3">
        <v>64</v>
      </c>
      <c r="B65" s="23">
        <v>88.123797685375806</v>
      </c>
      <c r="C65" s="18">
        <v>44791.602800925917</v>
      </c>
      <c r="D65" s="23">
        <v>3.010854927303257</v>
      </c>
      <c r="E65" s="19">
        <v>13</v>
      </c>
      <c r="F65" s="17">
        <v>1</v>
      </c>
      <c r="G65" s="19">
        <v>-3.7516412734985352</v>
      </c>
      <c r="H65" s="17">
        <v>0.63165205717086792</v>
      </c>
      <c r="I65" s="17">
        <f t="shared" si="0"/>
        <v>-0.60026260375976559</v>
      </c>
      <c r="J65" s="17">
        <f t="shared" si="1"/>
        <v>-0.37915710850759748</v>
      </c>
      <c r="K65" s="19">
        <v>0</v>
      </c>
      <c r="L65" s="17">
        <v>3.1740571012416001E-2</v>
      </c>
      <c r="M65" s="19">
        <v>0</v>
      </c>
      <c r="N65" s="17">
        <v>2.1648687367133001E-2</v>
      </c>
      <c r="O65" s="19">
        <v>6.1535836721304804E-5</v>
      </c>
      <c r="P65" s="17">
        <v>0</v>
      </c>
      <c r="Q65" s="19">
        <v>0</v>
      </c>
      <c r="R65" s="17">
        <v>0</v>
      </c>
      <c r="S65" s="19">
        <v>0</v>
      </c>
    </row>
    <row r="66" spans="1:19" x14ac:dyDescent="0.25">
      <c r="A66" s="3">
        <v>65</v>
      </c>
      <c r="B66" s="23">
        <v>89.12579677885941</v>
      </c>
      <c r="C66" s="18">
        <v>44791.602812500001</v>
      </c>
      <c r="D66" s="23">
        <v>4.0128540247251268</v>
      </c>
      <c r="E66" s="19">
        <v>13</v>
      </c>
      <c r="F66" s="17">
        <v>1</v>
      </c>
      <c r="G66" s="19">
        <v>-3.7516412734985352</v>
      </c>
      <c r="H66" s="17">
        <v>0.63195967674255371</v>
      </c>
      <c r="I66" s="17">
        <f t="shared" si="0"/>
        <v>-0.60026260375976559</v>
      </c>
      <c r="J66" s="17">
        <f t="shared" si="1"/>
        <v>-0.37934176103266509</v>
      </c>
      <c r="K66" s="19">
        <v>0</v>
      </c>
      <c r="L66" s="17">
        <v>3.2784788021986998E-2</v>
      </c>
      <c r="M66" s="19">
        <v>0</v>
      </c>
      <c r="N66" s="17">
        <v>2.2308467470676E-2</v>
      </c>
      <c r="O66" s="19">
        <v>6.1523911426775157E-5</v>
      </c>
      <c r="P66" s="17">
        <v>0</v>
      </c>
      <c r="Q66" s="19">
        <v>0</v>
      </c>
      <c r="R66" s="17">
        <v>0</v>
      </c>
      <c r="S66" s="19">
        <v>0</v>
      </c>
    </row>
    <row r="67" spans="1:19" x14ac:dyDescent="0.25">
      <c r="A67" s="3">
        <v>66</v>
      </c>
      <c r="B67" s="23">
        <v>90.116119467546937</v>
      </c>
      <c r="C67" s="18">
        <v>44791.602824074071</v>
      </c>
      <c r="D67" s="23">
        <v>5.0031767134126479</v>
      </c>
      <c r="E67" s="19">
        <v>13</v>
      </c>
      <c r="F67" s="17">
        <v>1</v>
      </c>
      <c r="G67" s="19">
        <v>-3.7512714862823486</v>
      </c>
      <c r="H67" s="17">
        <v>0.63195967674255371</v>
      </c>
      <c r="I67" s="17">
        <f t="shared" si="0"/>
        <v>-0.60020343780517582</v>
      </c>
      <c r="J67" s="17">
        <f t="shared" si="1"/>
        <v>-0.37930437053512833</v>
      </c>
      <c r="K67" s="19">
        <v>0</v>
      </c>
      <c r="L67" s="17">
        <v>3.3816854026859001E-2</v>
      </c>
      <c r="M67" s="19">
        <v>0</v>
      </c>
      <c r="N67" s="17">
        <v>2.2960615473382E-2</v>
      </c>
      <c r="O67" s="19">
        <v>6.1523911426775157E-5</v>
      </c>
      <c r="P67" s="17">
        <v>0</v>
      </c>
      <c r="Q67" s="19">
        <v>0</v>
      </c>
      <c r="R67" s="17">
        <v>0</v>
      </c>
      <c r="S67" s="19">
        <v>0</v>
      </c>
    </row>
    <row r="68" spans="1:19" x14ac:dyDescent="0.25">
      <c r="A68" s="3">
        <v>67</v>
      </c>
      <c r="B68" s="23">
        <v>91.120939675487179</v>
      </c>
      <c r="C68" s="18">
        <v>44791.602835648147</v>
      </c>
      <c r="D68" s="23">
        <v>1.0015979549677601</v>
      </c>
      <c r="E68" s="19">
        <v>14</v>
      </c>
      <c r="F68" s="17">
        <v>1</v>
      </c>
      <c r="G68" s="19">
        <v>-4.0649213790893555</v>
      </c>
      <c r="H68" s="17">
        <v>0.6211923360824585</v>
      </c>
      <c r="I68" s="17">
        <f t="shared" si="0"/>
        <v>-0.65038742065429689</v>
      </c>
      <c r="J68" s="17">
        <f t="shared" si="1"/>
        <v>-0.40401568119488729</v>
      </c>
      <c r="K68" s="19">
        <v>0</v>
      </c>
      <c r="L68" s="17">
        <v>3.4947675288207997E-2</v>
      </c>
      <c r="M68" s="19">
        <v>0</v>
      </c>
      <c r="N68" s="17">
        <v>2.3662958039429E-2</v>
      </c>
      <c r="O68" s="19">
        <v>-2.4610757827758789E-4</v>
      </c>
      <c r="P68" s="17">
        <v>0</v>
      </c>
      <c r="Q68" s="19">
        <v>0</v>
      </c>
      <c r="R68" s="17">
        <v>0</v>
      </c>
      <c r="S68" s="19">
        <v>0</v>
      </c>
    </row>
    <row r="69" spans="1:19" x14ac:dyDescent="0.25">
      <c r="A69" s="3">
        <v>68</v>
      </c>
      <c r="B69" s="23">
        <v>92.123001589983915</v>
      </c>
      <c r="C69" s="18">
        <v>44791.602847222224</v>
      </c>
      <c r="D69" s="23">
        <v>2.0036598730447421</v>
      </c>
      <c r="E69" s="19">
        <v>14</v>
      </c>
      <c r="F69" s="17">
        <v>1</v>
      </c>
      <c r="G69" s="19">
        <v>-4.0645513534545898</v>
      </c>
      <c r="H69" s="17">
        <v>0.6211923360824585</v>
      </c>
      <c r="I69" s="17">
        <f t="shared" si="0"/>
        <v>-0.65032821655273443</v>
      </c>
      <c r="J69" s="17">
        <f t="shared" si="1"/>
        <v>-0.40397890406073206</v>
      </c>
      <c r="K69" s="19">
        <v>0</v>
      </c>
      <c r="L69" s="17">
        <v>3.6079013917556003E-2</v>
      </c>
      <c r="M69" s="19">
        <v>0</v>
      </c>
      <c r="N69" s="17">
        <v>2.4365731441266001E-2</v>
      </c>
      <c r="O69" s="19">
        <v>-2.4610757827758789E-4</v>
      </c>
      <c r="P69" s="17">
        <v>0</v>
      </c>
      <c r="Q69" s="19">
        <v>0</v>
      </c>
      <c r="R69" s="17">
        <v>0</v>
      </c>
      <c r="S69" s="19">
        <v>0</v>
      </c>
    </row>
    <row r="70" spans="1:19" x14ac:dyDescent="0.25">
      <c r="A70" s="3">
        <v>69</v>
      </c>
      <c r="B70" s="23">
        <v>93.132804327076272</v>
      </c>
      <c r="C70" s="18">
        <v>44791.602858796294</v>
      </c>
      <c r="D70" s="23">
        <v>3.013462610495111</v>
      </c>
      <c r="E70" s="19">
        <v>14</v>
      </c>
      <c r="F70" s="17">
        <v>1</v>
      </c>
      <c r="G70" s="19">
        <v>-4.0638117790222168</v>
      </c>
      <c r="H70" s="17">
        <v>0.6211923360824585</v>
      </c>
      <c r="I70" s="17">
        <f t="shared" si="0"/>
        <v>-0.65020988464355467</v>
      </c>
      <c r="J70" s="17">
        <f t="shared" si="1"/>
        <v>-0.40390539718563556</v>
      </c>
      <c r="K70" s="19">
        <v>0</v>
      </c>
      <c r="L70" s="17">
        <v>3.7219079620671003E-2</v>
      </c>
      <c r="M70" s="19">
        <v>0</v>
      </c>
      <c r="N70" s="17">
        <v>2.5074069040539999E-2</v>
      </c>
      <c r="O70" s="19">
        <v>6.1523911426775157E-5</v>
      </c>
      <c r="P70" s="17">
        <v>0</v>
      </c>
      <c r="Q70" s="19">
        <v>0</v>
      </c>
      <c r="R70" s="17">
        <v>0</v>
      </c>
      <c r="S70" s="19">
        <v>0</v>
      </c>
    </row>
    <row r="71" spans="1:19" x14ac:dyDescent="0.25">
      <c r="A71" s="3">
        <v>70</v>
      </c>
      <c r="B71" s="23">
        <v>94.138663118172929</v>
      </c>
      <c r="C71" s="18">
        <v>44791.602870370371</v>
      </c>
      <c r="D71" s="23">
        <v>4.0193214015917746</v>
      </c>
      <c r="E71" s="19">
        <v>14</v>
      </c>
      <c r="F71" s="17">
        <v>1</v>
      </c>
      <c r="G71" s="19">
        <v>-4.0645513534545898</v>
      </c>
      <c r="H71" s="17">
        <v>0.6211923360824585</v>
      </c>
      <c r="I71" s="17">
        <f t="shared" si="0"/>
        <v>-0.65032821655273443</v>
      </c>
      <c r="J71" s="17">
        <f t="shared" si="1"/>
        <v>-0.40397890406073206</v>
      </c>
      <c r="K71" s="19">
        <v>0</v>
      </c>
      <c r="L71" s="17">
        <v>3.8354700788187999E-2</v>
      </c>
      <c r="M71" s="19">
        <v>0</v>
      </c>
      <c r="N71" s="17">
        <v>2.5779819940035E-2</v>
      </c>
      <c r="O71" s="19">
        <v>6.1523911426775157E-5</v>
      </c>
      <c r="P71" s="17">
        <v>0</v>
      </c>
      <c r="Q71" s="19">
        <v>0</v>
      </c>
      <c r="R71" s="17">
        <v>0</v>
      </c>
      <c r="S71" s="19">
        <v>0</v>
      </c>
    </row>
    <row r="72" spans="1:19" x14ac:dyDescent="0.25">
      <c r="A72" s="3">
        <v>71</v>
      </c>
      <c r="B72" s="23">
        <v>95.127941491026121</v>
      </c>
      <c r="C72" s="18">
        <v>44791.602881944447</v>
      </c>
      <c r="D72" s="23">
        <v>5.0085997705067111</v>
      </c>
      <c r="E72" s="19">
        <v>14</v>
      </c>
      <c r="F72" s="17">
        <v>1</v>
      </c>
      <c r="G72" s="19">
        <v>-4.0641818046569824</v>
      </c>
      <c r="H72" s="17">
        <v>0.62149995565414429</v>
      </c>
      <c r="I72" s="17">
        <f t="shared" si="0"/>
        <v>-0.65026908874511724</v>
      </c>
      <c r="J72" s="17">
        <f t="shared" si="1"/>
        <v>-0.40414220981835119</v>
      </c>
      <c r="K72" s="19">
        <v>0</v>
      </c>
      <c r="L72" s="17">
        <v>3.9471613221657001E-2</v>
      </c>
      <c r="M72" s="19">
        <v>0</v>
      </c>
      <c r="N72" s="17">
        <v>2.6474063127243E-2</v>
      </c>
      <c r="O72" s="19">
        <v>6.1523911426775157E-5</v>
      </c>
      <c r="P72" s="17">
        <v>0</v>
      </c>
      <c r="Q72" s="19">
        <v>0</v>
      </c>
      <c r="R72" s="17">
        <v>0</v>
      </c>
      <c r="S72" s="19">
        <v>0</v>
      </c>
    </row>
    <row r="73" spans="1:19" x14ac:dyDescent="0.25">
      <c r="A73" s="3">
        <v>72</v>
      </c>
      <c r="B73" s="23">
        <v>96.136725576507899</v>
      </c>
      <c r="C73" s="18">
        <v>44791.602893518517</v>
      </c>
      <c r="D73" s="23">
        <v>1.0059206719391649</v>
      </c>
      <c r="E73" s="19">
        <v>15</v>
      </c>
      <c r="F73" s="17">
        <v>1</v>
      </c>
      <c r="G73" s="19">
        <v>-4.3770918846130371</v>
      </c>
      <c r="H73" s="17">
        <v>0.61073261499404907</v>
      </c>
      <c r="I73" s="17">
        <f t="shared" ref="I73:I136" si="2">G73/6.25</f>
        <v>-0.70033470153808597</v>
      </c>
      <c r="J73" s="17">
        <f t="shared" ref="J73:J136" si="3">H73*I73</f>
        <v>-0.4277172436414321</v>
      </c>
      <c r="K73" s="19">
        <v>0</v>
      </c>
      <c r="L73" s="17">
        <v>4.0695593968025003E-2</v>
      </c>
      <c r="M73" s="19">
        <v>0</v>
      </c>
      <c r="N73" s="17">
        <v>2.7222164754161001E-2</v>
      </c>
      <c r="O73" s="19">
        <v>-2.1534680854529142E-3</v>
      </c>
      <c r="P73" s="17">
        <v>0</v>
      </c>
      <c r="Q73" s="19">
        <v>0</v>
      </c>
      <c r="R73" s="17">
        <v>0</v>
      </c>
      <c r="S73" s="19">
        <v>0</v>
      </c>
    </row>
    <row r="74" spans="1:19" x14ac:dyDescent="0.25">
      <c r="A74" s="3">
        <v>73</v>
      </c>
      <c r="B74" s="23">
        <v>97.140726140037458</v>
      </c>
      <c r="C74" s="18">
        <v>44791.602905092594</v>
      </c>
      <c r="D74" s="23">
        <v>2.0099212394069692</v>
      </c>
      <c r="E74" s="19">
        <v>15</v>
      </c>
      <c r="F74" s="17">
        <v>1</v>
      </c>
      <c r="G74" s="19">
        <v>-4.3770918846130371</v>
      </c>
      <c r="H74" s="17">
        <v>0.61104029417037964</v>
      </c>
      <c r="I74" s="17">
        <f t="shared" si="2"/>
        <v>-0.70033470153808597</v>
      </c>
      <c r="J74" s="17">
        <f t="shared" si="3"/>
        <v>-0.4279327220455571</v>
      </c>
      <c r="K74" s="19">
        <v>0</v>
      </c>
      <c r="L74" s="17">
        <v>4.1916308941790999E-2</v>
      </c>
      <c r="M74" s="19">
        <v>0</v>
      </c>
      <c r="N74" s="17">
        <v>2.7968008364616999E-2</v>
      </c>
      <c r="O74" s="19">
        <v>-2.0919323433190584E-3</v>
      </c>
      <c r="P74" s="17">
        <v>0</v>
      </c>
      <c r="Q74" s="19">
        <v>0</v>
      </c>
      <c r="R74" s="17">
        <v>0</v>
      </c>
      <c r="S74" s="19">
        <v>0</v>
      </c>
    </row>
    <row r="75" spans="1:19" x14ac:dyDescent="0.25">
      <c r="A75" s="3">
        <v>74</v>
      </c>
      <c r="B75" s="23">
        <v>98.142687265091595</v>
      </c>
      <c r="C75" s="18">
        <v>44791.602916666663</v>
      </c>
      <c r="D75" s="23">
        <v>3.01188237555986</v>
      </c>
      <c r="E75" s="19">
        <v>15</v>
      </c>
      <c r="F75" s="17">
        <v>1</v>
      </c>
      <c r="G75" s="19">
        <v>-4.3770918846130371</v>
      </c>
      <c r="H75" s="17">
        <v>0.61073261499404907</v>
      </c>
      <c r="I75" s="17">
        <f t="shared" si="2"/>
        <v>-0.70033470153808597</v>
      </c>
      <c r="J75" s="17">
        <f t="shared" si="3"/>
        <v>-0.4277172436414321</v>
      </c>
      <c r="K75" s="19">
        <v>0</v>
      </c>
      <c r="L75" s="17">
        <v>4.313452825249E-2</v>
      </c>
      <c r="M75" s="19">
        <v>0</v>
      </c>
      <c r="N75" s="17">
        <v>2.8712503589164998E-2</v>
      </c>
      <c r="O75" s="19">
        <v>-6.1535836721304804E-5</v>
      </c>
      <c r="P75" s="17">
        <v>0</v>
      </c>
      <c r="Q75" s="19">
        <v>0</v>
      </c>
      <c r="R75" s="17">
        <v>0</v>
      </c>
      <c r="S75" s="19">
        <v>0</v>
      </c>
    </row>
    <row r="76" spans="1:19" x14ac:dyDescent="0.25">
      <c r="A76" s="3">
        <v>75</v>
      </c>
      <c r="B76" s="23">
        <v>99.146642225333053</v>
      </c>
      <c r="C76" s="18">
        <v>44791.60292824074</v>
      </c>
      <c r="D76" s="23">
        <v>4.0158373207643097</v>
      </c>
      <c r="E76" s="19">
        <v>15</v>
      </c>
      <c r="F76" s="17">
        <v>1</v>
      </c>
      <c r="G76" s="19">
        <v>-4.3774614334106445</v>
      </c>
      <c r="H76" s="17">
        <v>0.61134791374206543</v>
      </c>
      <c r="I76" s="17">
        <f t="shared" si="2"/>
        <v>-0.70039382934570316</v>
      </c>
      <c r="J76" s="17">
        <f t="shared" si="3"/>
        <v>-0.42818430636831184</v>
      </c>
      <c r="K76" s="19">
        <v>0</v>
      </c>
      <c r="L76" s="17">
        <v>4.4355190179491001E-2</v>
      </c>
      <c r="M76" s="19">
        <v>0</v>
      </c>
      <c r="N76" s="17">
        <v>2.9458488373795999E-2</v>
      </c>
      <c r="O76" s="19">
        <v>6.1523911426775157E-5</v>
      </c>
      <c r="P76" s="17">
        <v>0</v>
      </c>
      <c r="Q76" s="19">
        <v>0</v>
      </c>
      <c r="R76" s="17">
        <v>0</v>
      </c>
      <c r="S76" s="19">
        <v>0</v>
      </c>
    </row>
    <row r="77" spans="1:19" x14ac:dyDescent="0.25">
      <c r="A77" s="3">
        <v>76</v>
      </c>
      <c r="B77" s="23">
        <v>100.13692528758268</v>
      </c>
      <c r="C77" s="18">
        <v>44791.602939814817</v>
      </c>
      <c r="D77" s="23">
        <v>5.0061203869521789</v>
      </c>
      <c r="E77" s="19">
        <v>15</v>
      </c>
      <c r="F77" s="17">
        <v>1</v>
      </c>
      <c r="G77" s="19">
        <v>-4.3767218589782715</v>
      </c>
      <c r="H77" s="17">
        <v>0.61134791374206543</v>
      </c>
      <c r="I77" s="17">
        <f t="shared" si="2"/>
        <v>-0.7002754974365234</v>
      </c>
      <c r="J77" s="17">
        <f t="shared" si="3"/>
        <v>-0.42811196440250565</v>
      </c>
      <c r="K77" s="19">
        <v>0</v>
      </c>
      <c r="L77" s="17">
        <v>4.5559207128034997E-2</v>
      </c>
      <c r="M77" s="19">
        <v>0</v>
      </c>
      <c r="N77" s="17">
        <v>3.0194514290087002E-2</v>
      </c>
      <c r="O77" s="19">
        <v>1.2305975542403758E-4</v>
      </c>
      <c r="P77" s="17">
        <v>0</v>
      </c>
      <c r="Q77" s="19">
        <v>0</v>
      </c>
      <c r="R77" s="17">
        <v>0</v>
      </c>
      <c r="S77" s="19">
        <v>0</v>
      </c>
    </row>
    <row r="78" spans="1:19" x14ac:dyDescent="0.25">
      <c r="A78" s="3">
        <v>77</v>
      </c>
      <c r="B78" s="23">
        <v>101.1428060101464</v>
      </c>
      <c r="C78" s="18">
        <v>44791.602951388886</v>
      </c>
      <c r="D78" s="23">
        <v>1.002705794974061</v>
      </c>
      <c r="E78" s="19">
        <v>16</v>
      </c>
      <c r="F78" s="17">
        <v>1</v>
      </c>
      <c r="G78" s="19">
        <v>-4.6896319389343262</v>
      </c>
      <c r="H78" s="17">
        <v>0.60058057308197021</v>
      </c>
      <c r="I78" s="17">
        <f t="shared" si="2"/>
        <v>-0.75034111022949224</v>
      </c>
      <c r="J78" s="17">
        <f t="shared" si="3"/>
        <v>-0.45064029398859023</v>
      </c>
      <c r="K78" s="19">
        <v>0</v>
      </c>
      <c r="L78" s="17">
        <v>4.6869182320340999E-2</v>
      </c>
      <c r="M78" s="19">
        <v>0</v>
      </c>
      <c r="N78" s="17">
        <v>3.0981823691937999E-2</v>
      </c>
      <c r="O78" s="19">
        <v>-6.7681074142456055E-4</v>
      </c>
      <c r="P78" s="17">
        <v>0</v>
      </c>
      <c r="Q78" s="19">
        <v>0</v>
      </c>
      <c r="R78" s="17">
        <v>0</v>
      </c>
      <c r="S78" s="19">
        <v>0</v>
      </c>
    </row>
    <row r="79" spans="1:19" x14ac:dyDescent="0.25">
      <c r="A79" s="3">
        <v>78</v>
      </c>
      <c r="B79" s="23">
        <v>102.14870583722087</v>
      </c>
      <c r="C79" s="18">
        <v>44791.602962962963</v>
      </c>
      <c r="D79" s="23">
        <v>2.0086056181102792</v>
      </c>
      <c r="E79" s="19">
        <v>16</v>
      </c>
      <c r="F79" s="17">
        <v>1</v>
      </c>
      <c r="G79" s="19">
        <v>-4.6896319389343262</v>
      </c>
      <c r="H79" s="17">
        <v>0.60119587182998657</v>
      </c>
      <c r="I79" s="17">
        <f t="shared" si="2"/>
        <v>-0.75034111022949224</v>
      </c>
      <c r="J79" s="17">
        <f t="shared" si="3"/>
        <v>-0.45110197793429962</v>
      </c>
      <c r="K79" s="19">
        <v>0</v>
      </c>
      <c r="L79" s="17">
        <v>4.8179477173719003E-2</v>
      </c>
      <c r="M79" s="19">
        <v>0</v>
      </c>
      <c r="N79" s="17">
        <v>3.1769271684319998E-2</v>
      </c>
      <c r="O79" s="19">
        <v>-5.5375101510435343E-4</v>
      </c>
      <c r="P79" s="17">
        <v>0</v>
      </c>
      <c r="Q79" s="19">
        <v>0</v>
      </c>
      <c r="R79" s="17">
        <v>0</v>
      </c>
      <c r="S79" s="19">
        <v>0</v>
      </c>
    </row>
    <row r="80" spans="1:19" x14ac:dyDescent="0.25">
      <c r="A80" s="3">
        <v>79</v>
      </c>
      <c r="B80" s="23">
        <v>103.15272080261786</v>
      </c>
      <c r="C80" s="18">
        <v>44791.60297453704</v>
      </c>
      <c r="D80" s="23">
        <v>3.012620587087512</v>
      </c>
      <c r="E80" s="19">
        <v>16</v>
      </c>
      <c r="F80" s="17">
        <v>1</v>
      </c>
      <c r="G80" s="19">
        <v>-4.6888918876647949</v>
      </c>
      <c r="H80" s="17">
        <v>0.60150349140167236</v>
      </c>
      <c r="I80" s="17">
        <f t="shared" si="2"/>
        <v>-0.75022270202636721</v>
      </c>
      <c r="J80" s="17">
        <f t="shared" si="3"/>
        <v>-0.45126157459765637</v>
      </c>
      <c r="K80" s="19">
        <v>0</v>
      </c>
      <c r="L80" s="17">
        <v>4.9487323133193997E-2</v>
      </c>
      <c r="M80" s="19">
        <v>0</v>
      </c>
      <c r="N80" s="17">
        <v>3.2555395939391003E-2</v>
      </c>
      <c r="O80" s="19">
        <v>1.2305975542403758E-4</v>
      </c>
      <c r="P80" s="17">
        <v>0</v>
      </c>
      <c r="Q80" s="19">
        <v>0</v>
      </c>
      <c r="R80" s="17">
        <v>0</v>
      </c>
      <c r="S80" s="19">
        <v>0</v>
      </c>
    </row>
    <row r="81" spans="1:19" x14ac:dyDescent="0.25">
      <c r="A81" s="3">
        <v>80</v>
      </c>
      <c r="B81" s="23">
        <v>104.15661303958667</v>
      </c>
      <c r="C81" s="18">
        <v>44791.602986111109</v>
      </c>
      <c r="D81" s="23">
        <v>4.0165128240563384</v>
      </c>
      <c r="E81" s="19">
        <v>16</v>
      </c>
      <c r="F81" s="17">
        <v>1</v>
      </c>
      <c r="G81" s="19">
        <v>-4.6900014877319336</v>
      </c>
      <c r="H81" s="17">
        <v>0.60119587182998657</v>
      </c>
      <c r="I81" s="17">
        <f t="shared" si="2"/>
        <v>-0.75040023803710942</v>
      </c>
      <c r="J81" s="17">
        <f t="shared" si="3"/>
        <v>-0.45113752532814944</v>
      </c>
      <c r="K81" s="19">
        <v>0</v>
      </c>
      <c r="L81" s="17">
        <v>5.0795009881458998E-2</v>
      </c>
      <c r="M81" s="19">
        <v>0</v>
      </c>
      <c r="N81" s="17">
        <v>3.3341550044715999E-2</v>
      </c>
      <c r="O81" s="19">
        <v>0</v>
      </c>
      <c r="P81" s="17">
        <v>0</v>
      </c>
      <c r="Q81" s="19">
        <v>0</v>
      </c>
      <c r="R81" s="17">
        <v>0</v>
      </c>
      <c r="S81" s="19">
        <v>0</v>
      </c>
    </row>
    <row r="82" spans="1:19" x14ac:dyDescent="0.25">
      <c r="A82" s="3">
        <v>81</v>
      </c>
      <c r="B82" s="23">
        <v>105.14791774581022</v>
      </c>
      <c r="C82" s="18">
        <v>44791.602997685186</v>
      </c>
      <c r="D82" s="23">
        <v>5.0078175306378911</v>
      </c>
      <c r="E82" s="19">
        <v>16</v>
      </c>
      <c r="F82" s="17">
        <v>1</v>
      </c>
      <c r="G82" s="19">
        <v>-4.6888918876647949</v>
      </c>
      <c r="H82" s="17">
        <v>0.60181111097335815</v>
      </c>
      <c r="I82" s="17">
        <f t="shared" si="2"/>
        <v>-0.75022270202636721</v>
      </c>
      <c r="J82" s="17">
        <f t="shared" si="3"/>
        <v>-0.45149235778392266</v>
      </c>
      <c r="K82" s="19">
        <v>0</v>
      </c>
      <c r="L82" s="17">
        <v>5.2086320212043999E-2</v>
      </c>
      <c r="M82" s="19">
        <v>0</v>
      </c>
      <c r="N82" s="17">
        <v>3.4117925125257E-2</v>
      </c>
      <c r="O82" s="19">
        <v>1.8458366685081273E-4</v>
      </c>
      <c r="P82" s="17">
        <v>0</v>
      </c>
      <c r="Q82" s="19">
        <v>0</v>
      </c>
      <c r="R82" s="17">
        <v>0</v>
      </c>
      <c r="S82" s="19">
        <v>0</v>
      </c>
    </row>
    <row r="83" spans="1:19" x14ac:dyDescent="0.25">
      <c r="A83" s="3">
        <v>82</v>
      </c>
      <c r="B83" s="23">
        <v>106.16647875486464</v>
      </c>
      <c r="C83" s="18">
        <v>44791.603009259263</v>
      </c>
      <c r="D83" s="23">
        <v>1.0153352939912861</v>
      </c>
      <c r="E83" s="19">
        <v>17</v>
      </c>
      <c r="F83" s="17">
        <v>1</v>
      </c>
      <c r="G83" s="19">
        <v>-5.0021719932556152</v>
      </c>
      <c r="H83" s="17">
        <v>0.59135144948959351</v>
      </c>
      <c r="I83" s="17">
        <f t="shared" si="2"/>
        <v>-0.80034751892089839</v>
      </c>
      <c r="J83" s="17">
        <f t="shared" si="3"/>
        <v>-0.47328666540927311</v>
      </c>
      <c r="K83" s="19">
        <v>0</v>
      </c>
      <c r="L83" s="17">
        <v>5.3501280517780997E-2</v>
      </c>
      <c r="M83" s="19">
        <v>0</v>
      </c>
      <c r="N83" s="17">
        <v>3.4954560510620999E-2</v>
      </c>
      <c r="O83" s="19">
        <v>-1.2304782285355031E-4</v>
      </c>
      <c r="P83" s="17">
        <v>0</v>
      </c>
      <c r="Q83" s="19">
        <v>0</v>
      </c>
      <c r="R83" s="17">
        <v>0</v>
      </c>
      <c r="S83" s="19">
        <v>0</v>
      </c>
    </row>
    <row r="84" spans="1:19" x14ac:dyDescent="0.25">
      <c r="A84" s="3">
        <v>83</v>
      </c>
      <c r="B84" s="23">
        <v>107.17234208713585</v>
      </c>
      <c r="C84" s="18">
        <v>44791.603020833325</v>
      </c>
      <c r="D84" s="23">
        <v>2.0211986298427198</v>
      </c>
      <c r="E84" s="19">
        <v>17</v>
      </c>
      <c r="F84" s="17">
        <v>1</v>
      </c>
      <c r="G84" s="19">
        <v>-5.0018019676208496</v>
      </c>
      <c r="H84" s="17">
        <v>0.59135144948959351</v>
      </c>
      <c r="I84" s="17">
        <f t="shared" si="2"/>
        <v>-0.80028831481933593</v>
      </c>
      <c r="J84" s="17">
        <f t="shared" si="3"/>
        <v>-0.47325165497799843</v>
      </c>
      <c r="K84" s="19">
        <v>0</v>
      </c>
      <c r="L84" s="17">
        <v>5.4898894493900001E-2</v>
      </c>
      <c r="M84" s="19">
        <v>0</v>
      </c>
      <c r="N84" s="17">
        <v>3.5780941570010001E-2</v>
      </c>
      <c r="O84" s="19">
        <v>-1.2304782285355031E-4</v>
      </c>
      <c r="P84" s="17">
        <v>0</v>
      </c>
      <c r="Q84" s="19">
        <v>0</v>
      </c>
      <c r="R84" s="17">
        <v>0</v>
      </c>
      <c r="S84" s="19">
        <v>0</v>
      </c>
    </row>
    <row r="85" spans="1:19" x14ac:dyDescent="0.25">
      <c r="A85" s="3">
        <v>84</v>
      </c>
      <c r="B85" s="23">
        <v>108.17822485831206</v>
      </c>
      <c r="C85" s="18">
        <v>44791.603032407409</v>
      </c>
      <c r="D85" s="23">
        <v>3.027081397438697</v>
      </c>
      <c r="E85" s="19">
        <v>17</v>
      </c>
      <c r="F85" s="17">
        <v>1</v>
      </c>
      <c r="G85" s="19">
        <v>-5.0021719932556152</v>
      </c>
      <c r="H85" s="17">
        <v>0.59135144948959351</v>
      </c>
      <c r="I85" s="17">
        <f t="shared" si="2"/>
        <v>-0.80034751892089839</v>
      </c>
      <c r="J85" s="17">
        <f t="shared" si="3"/>
        <v>-0.47328666540927311</v>
      </c>
      <c r="K85" s="19">
        <v>0</v>
      </c>
      <c r="L85" s="17">
        <v>5.6296524321979999E-2</v>
      </c>
      <c r="M85" s="19">
        <v>0</v>
      </c>
      <c r="N85" s="17">
        <v>3.6607418820944003E-2</v>
      </c>
      <c r="O85" s="19">
        <v>0</v>
      </c>
      <c r="P85" s="17">
        <v>0</v>
      </c>
      <c r="Q85" s="19">
        <v>0</v>
      </c>
      <c r="R85" s="17">
        <v>0</v>
      </c>
      <c r="S85" s="19">
        <v>0</v>
      </c>
    </row>
    <row r="86" spans="1:19" x14ac:dyDescent="0.25">
      <c r="A86" s="3">
        <v>85</v>
      </c>
      <c r="B86" s="23">
        <v>109.18418173577123</v>
      </c>
      <c r="C86" s="18">
        <v>44791.603043981479</v>
      </c>
      <c r="D86" s="23">
        <v>4.0330382788361359</v>
      </c>
      <c r="E86" s="19">
        <v>17</v>
      </c>
      <c r="F86" s="17">
        <v>1</v>
      </c>
      <c r="G86" s="19">
        <v>-5.0025420188903809</v>
      </c>
      <c r="H86" s="17">
        <v>0.59135144948959351</v>
      </c>
      <c r="I86" s="17">
        <f t="shared" si="2"/>
        <v>-0.80040672302246096</v>
      </c>
      <c r="J86" s="17">
        <f t="shared" si="3"/>
        <v>-0.47332167584054791</v>
      </c>
      <c r="K86" s="19">
        <v>0</v>
      </c>
      <c r="L86" s="17">
        <v>5.7694250786022E-2</v>
      </c>
      <c r="M86" s="19">
        <v>0</v>
      </c>
      <c r="N86" s="17">
        <v>3.7434053273610997E-2</v>
      </c>
      <c r="O86" s="19">
        <v>0</v>
      </c>
      <c r="P86" s="17">
        <v>0</v>
      </c>
      <c r="Q86" s="19">
        <v>0</v>
      </c>
      <c r="R86" s="17">
        <v>0</v>
      </c>
      <c r="S86" s="19">
        <v>0</v>
      </c>
    </row>
    <row r="87" spans="1:19" x14ac:dyDescent="0.25">
      <c r="A87" s="3">
        <v>86</v>
      </c>
      <c r="B87" s="23">
        <v>110.15870511437072</v>
      </c>
      <c r="C87" s="18">
        <v>44791.603055555555</v>
      </c>
      <c r="D87" s="23">
        <v>5.0075616534973557</v>
      </c>
      <c r="E87" s="19">
        <v>17</v>
      </c>
      <c r="F87" s="17">
        <v>1</v>
      </c>
      <c r="G87" s="19">
        <v>-5.0021719932556152</v>
      </c>
      <c r="H87" s="17">
        <v>0.59135144948959351</v>
      </c>
      <c r="I87" s="17">
        <f t="shared" si="2"/>
        <v>-0.80034751892089839</v>
      </c>
      <c r="J87" s="17">
        <f t="shared" si="3"/>
        <v>-0.47328666540927311</v>
      </c>
      <c r="K87" s="19">
        <v>0</v>
      </c>
      <c r="L87" s="17">
        <v>5.9048312157690998E-2</v>
      </c>
      <c r="M87" s="19">
        <v>0</v>
      </c>
      <c r="N87" s="17">
        <v>3.8234960551418E-2</v>
      </c>
      <c r="O87" s="19">
        <v>0</v>
      </c>
      <c r="P87" s="17">
        <v>0</v>
      </c>
      <c r="Q87" s="19">
        <v>0</v>
      </c>
      <c r="R87" s="17">
        <v>0</v>
      </c>
      <c r="S87" s="19">
        <v>0</v>
      </c>
    </row>
    <row r="88" spans="1:19" x14ac:dyDescent="0.25">
      <c r="A88" s="3">
        <v>87</v>
      </c>
      <c r="B88" s="23">
        <v>111.16955402472512</v>
      </c>
      <c r="C88" s="18">
        <v>44791.603067129632</v>
      </c>
      <c r="D88" s="23">
        <v>1.007661941706556</v>
      </c>
      <c r="E88" s="19">
        <v>18</v>
      </c>
      <c r="F88" s="17">
        <v>1</v>
      </c>
      <c r="G88" s="19">
        <v>-5.3143420219421387</v>
      </c>
      <c r="H88" s="17">
        <v>0.58181464672088623</v>
      </c>
      <c r="I88" s="17">
        <f t="shared" si="2"/>
        <v>-0.8502947235107422</v>
      </c>
      <c r="J88" s="17">
        <f t="shared" si="3"/>
        <v>-0.49471392416803611</v>
      </c>
      <c r="K88" s="19">
        <v>0</v>
      </c>
      <c r="L88" s="17">
        <v>6.0536627297152999E-2</v>
      </c>
      <c r="M88" s="19">
        <v>0</v>
      </c>
      <c r="N88" s="17">
        <v>3.9101172089519999E-2</v>
      </c>
      <c r="O88" s="19">
        <v>-1.9688843749463558E-3</v>
      </c>
      <c r="P88" s="17">
        <v>0</v>
      </c>
      <c r="Q88" s="19">
        <v>0</v>
      </c>
      <c r="R88" s="17">
        <v>0</v>
      </c>
      <c r="S88" s="19">
        <v>0</v>
      </c>
    </row>
    <row r="89" spans="1:19" x14ac:dyDescent="0.25">
      <c r="A89" s="3">
        <v>88</v>
      </c>
      <c r="B89" s="23">
        <v>112.17445843235676</v>
      </c>
      <c r="C89" s="18">
        <v>44791.603078703702</v>
      </c>
      <c r="D89" s="23">
        <v>2.0125662705729459</v>
      </c>
      <c r="E89" s="19">
        <v>18</v>
      </c>
      <c r="F89" s="17">
        <v>1</v>
      </c>
      <c r="G89" s="19">
        <v>-5.3147120475769043</v>
      </c>
      <c r="H89" s="17">
        <v>0.58181464672088623</v>
      </c>
      <c r="I89" s="17">
        <f t="shared" si="2"/>
        <v>-0.85035392761230466</v>
      </c>
      <c r="J89" s="17">
        <f t="shared" si="3"/>
        <v>-0.49474836998147109</v>
      </c>
      <c r="K89" s="19">
        <v>0</v>
      </c>
      <c r="L89" s="17">
        <v>6.2020141755948999E-2</v>
      </c>
      <c r="M89" s="19">
        <v>0</v>
      </c>
      <c r="N89" s="17">
        <v>3.9964003150600003E-2</v>
      </c>
      <c r="O89" s="19">
        <v>-1.9688843749463558E-3</v>
      </c>
      <c r="P89" s="17">
        <v>0</v>
      </c>
      <c r="Q89" s="19">
        <v>0</v>
      </c>
      <c r="R89" s="17">
        <v>0</v>
      </c>
      <c r="S89" s="19">
        <v>0</v>
      </c>
    </row>
    <row r="90" spans="1:19" x14ac:dyDescent="0.25">
      <c r="A90" s="3">
        <v>89</v>
      </c>
      <c r="B90" s="23">
        <v>113.17938877129797</v>
      </c>
      <c r="C90" s="18">
        <v>44791.603090277778</v>
      </c>
      <c r="D90" s="23">
        <v>3.0174966055758641</v>
      </c>
      <c r="E90" s="19">
        <v>18</v>
      </c>
      <c r="F90" s="17">
        <v>1</v>
      </c>
      <c r="G90" s="19">
        <v>-5.3147120475769043</v>
      </c>
      <c r="H90" s="17">
        <v>0.58150702714920044</v>
      </c>
      <c r="I90" s="17">
        <f t="shared" si="2"/>
        <v>-0.85035392761230466</v>
      </c>
      <c r="J90" s="17">
        <f t="shared" si="3"/>
        <v>-0.49448678447047767</v>
      </c>
      <c r="K90" s="19">
        <v>0</v>
      </c>
      <c r="L90" s="17">
        <v>6.3503693868736999E-2</v>
      </c>
      <c r="M90" s="19">
        <v>0</v>
      </c>
      <c r="N90" s="17">
        <v>4.0826937751552002E-2</v>
      </c>
      <c r="O90" s="19">
        <v>6.1523911426775157E-5</v>
      </c>
      <c r="P90" s="17">
        <v>0</v>
      </c>
      <c r="Q90" s="19">
        <v>0</v>
      </c>
      <c r="R90" s="17">
        <v>0</v>
      </c>
      <c r="S90" s="19">
        <v>0</v>
      </c>
    </row>
    <row r="91" spans="1:19" x14ac:dyDescent="0.25">
      <c r="A91" s="3">
        <v>90</v>
      </c>
      <c r="B91" s="23">
        <v>114.19015833139404</v>
      </c>
      <c r="C91" s="18">
        <v>44791.603101851855</v>
      </c>
      <c r="D91" s="23">
        <v>4.0282661656719574</v>
      </c>
      <c r="E91" s="19">
        <v>18</v>
      </c>
      <c r="F91" s="17">
        <v>1</v>
      </c>
      <c r="G91" s="19">
        <v>-5.3147120475769043</v>
      </c>
      <c r="H91" s="17">
        <v>0.58181464672088623</v>
      </c>
      <c r="I91" s="17">
        <f t="shared" si="2"/>
        <v>-0.85035392761230466</v>
      </c>
      <c r="J91" s="17">
        <f t="shared" si="3"/>
        <v>-0.49474836998147109</v>
      </c>
      <c r="K91" s="19">
        <v>0</v>
      </c>
      <c r="L91" s="17">
        <v>6.4995866107236996E-2</v>
      </c>
      <c r="M91" s="19">
        <v>0</v>
      </c>
      <c r="N91" s="17">
        <v>4.1694973525647001E-2</v>
      </c>
      <c r="O91" s="19">
        <v>6.1523911426775157E-5</v>
      </c>
      <c r="P91" s="17">
        <v>0</v>
      </c>
      <c r="Q91" s="19">
        <v>0</v>
      </c>
      <c r="R91" s="17">
        <v>0</v>
      </c>
      <c r="S91" s="19">
        <v>0</v>
      </c>
    </row>
    <row r="92" spans="1:19" x14ac:dyDescent="0.25">
      <c r="A92" s="3">
        <v>91</v>
      </c>
      <c r="B92" s="23">
        <v>115.16191243560046</v>
      </c>
      <c r="C92" s="18">
        <v>44791.603113425925</v>
      </c>
      <c r="D92" s="23">
        <v>5.0000203525818891</v>
      </c>
      <c r="E92" s="19">
        <v>18</v>
      </c>
      <c r="F92" s="17">
        <v>1</v>
      </c>
      <c r="G92" s="19">
        <v>-5.3147120475769043</v>
      </c>
      <c r="H92" s="17">
        <v>0.58181464672088623</v>
      </c>
      <c r="I92" s="17">
        <f t="shared" si="2"/>
        <v>-0.85035392761230466</v>
      </c>
      <c r="J92" s="17">
        <f t="shared" si="3"/>
        <v>-0.49474836998147109</v>
      </c>
      <c r="K92" s="19">
        <v>0</v>
      </c>
      <c r="L92" s="17">
        <v>6.6430449551835996E-2</v>
      </c>
      <c r="M92" s="19">
        <v>0</v>
      </c>
      <c r="N92" s="17">
        <v>4.2529593026981997E-2</v>
      </c>
      <c r="O92" s="19">
        <v>0</v>
      </c>
      <c r="P92" s="17">
        <v>0</v>
      </c>
      <c r="Q92" s="19">
        <v>0</v>
      </c>
      <c r="R92" s="17">
        <v>0</v>
      </c>
      <c r="S92" s="19">
        <v>0</v>
      </c>
    </row>
    <row r="93" spans="1:19" x14ac:dyDescent="0.25">
      <c r="A93" s="3">
        <v>92</v>
      </c>
      <c r="B93" s="23">
        <v>116.16681999742222</v>
      </c>
      <c r="C93" s="18">
        <v>44791.603125000001</v>
      </c>
      <c r="D93" s="23">
        <v>1.0018958533677511</v>
      </c>
      <c r="E93" s="19">
        <v>19</v>
      </c>
      <c r="F93" s="17">
        <v>1</v>
      </c>
      <c r="G93" s="19">
        <v>-5.627622127532959</v>
      </c>
      <c r="H93" s="17">
        <v>0.57197022438049316</v>
      </c>
      <c r="I93" s="17">
        <f t="shared" si="2"/>
        <v>-0.90041954040527339</v>
      </c>
      <c r="J93" s="17">
        <f t="shared" si="3"/>
        <v>-0.51501316656218477</v>
      </c>
      <c r="K93" s="19">
        <v>0</v>
      </c>
      <c r="L93" s="17">
        <v>6.7993703490946994E-2</v>
      </c>
      <c r="M93" s="19">
        <v>0</v>
      </c>
      <c r="N93" s="17">
        <v>4.3424648938964E-2</v>
      </c>
      <c r="O93" s="19">
        <v>-2.0304203499108553E-3</v>
      </c>
      <c r="P93" s="17">
        <v>0</v>
      </c>
      <c r="Q93" s="19">
        <v>0</v>
      </c>
      <c r="R93" s="17">
        <v>0</v>
      </c>
      <c r="S93" s="19">
        <v>0</v>
      </c>
    </row>
    <row r="94" spans="1:19" x14ac:dyDescent="0.25">
      <c r="A94" s="3">
        <v>93</v>
      </c>
      <c r="B94" s="23">
        <v>117.17266900694923</v>
      </c>
      <c r="C94" s="18">
        <v>44791.603136574071</v>
      </c>
      <c r="D94" s="23">
        <v>2.0077448664750039</v>
      </c>
      <c r="E94" s="19">
        <v>19</v>
      </c>
      <c r="F94" s="17">
        <v>1</v>
      </c>
      <c r="G94" s="19">
        <v>-5.6272521018981934</v>
      </c>
      <c r="H94" s="17">
        <v>0.57227790355682373</v>
      </c>
      <c r="I94" s="17">
        <f t="shared" si="2"/>
        <v>-0.90036033630371093</v>
      </c>
      <c r="J94" s="17">
        <f t="shared" si="3"/>
        <v>-0.51525632570560442</v>
      </c>
      <c r="K94" s="19">
        <v>0</v>
      </c>
      <c r="L94" s="17">
        <v>6.9566001808385E-2</v>
      </c>
      <c r="M94" s="19">
        <v>0</v>
      </c>
      <c r="N94" s="17">
        <v>4.4324331072283001E-2</v>
      </c>
      <c r="O94" s="19">
        <v>-1.9688843749463558E-3</v>
      </c>
      <c r="P94" s="17">
        <v>0</v>
      </c>
      <c r="Q94" s="19">
        <v>0</v>
      </c>
      <c r="R94" s="17">
        <v>0</v>
      </c>
      <c r="S94" s="19">
        <v>0</v>
      </c>
    </row>
    <row r="95" spans="1:19" x14ac:dyDescent="0.25">
      <c r="A95" s="3">
        <v>94</v>
      </c>
      <c r="B95" s="23">
        <v>118.17664178567976</v>
      </c>
      <c r="C95" s="18">
        <v>44791.60314814814</v>
      </c>
      <c r="D95" s="23">
        <v>3.0117176566622872</v>
      </c>
      <c r="E95" s="19">
        <v>19</v>
      </c>
      <c r="F95" s="17">
        <v>1</v>
      </c>
      <c r="G95" s="19">
        <v>-5.6268825531005859</v>
      </c>
      <c r="H95" s="17">
        <v>0.57258552312850952</v>
      </c>
      <c r="I95" s="17">
        <f t="shared" si="2"/>
        <v>-0.90030120849609374</v>
      </c>
      <c r="J95" s="17">
        <f t="shared" si="3"/>
        <v>-0.51549943843996515</v>
      </c>
      <c r="K95" s="19">
        <v>0</v>
      </c>
      <c r="L95" s="17">
        <v>7.1135349597781006E-2</v>
      </c>
      <c r="M95" s="19">
        <v>0</v>
      </c>
      <c r="N95" s="17">
        <v>4.5222460180923997E-2</v>
      </c>
      <c r="O95" s="19">
        <v>1.2305975542403758E-4</v>
      </c>
      <c r="P95" s="17">
        <v>0</v>
      </c>
      <c r="Q95" s="19">
        <v>0</v>
      </c>
      <c r="R95" s="17">
        <v>0</v>
      </c>
      <c r="S95" s="19">
        <v>0</v>
      </c>
    </row>
    <row r="96" spans="1:19" x14ac:dyDescent="0.25">
      <c r="A96" s="3">
        <v>95</v>
      </c>
      <c r="B96" s="23">
        <v>119.17861236148951</v>
      </c>
      <c r="C96" s="18">
        <v>44791.603159722225</v>
      </c>
      <c r="D96" s="23">
        <v>4.013688300138555</v>
      </c>
      <c r="E96" s="19">
        <v>19</v>
      </c>
      <c r="F96" s="17">
        <v>1</v>
      </c>
      <c r="G96" s="19">
        <v>-5.627622127532959</v>
      </c>
      <c r="H96" s="17">
        <v>0.57227790355682373</v>
      </c>
      <c r="I96" s="17">
        <f t="shared" si="2"/>
        <v>-0.90041954040527339</v>
      </c>
      <c r="J96" s="17">
        <f t="shared" si="3"/>
        <v>-0.5152902069047286</v>
      </c>
      <c r="K96" s="19">
        <v>0</v>
      </c>
      <c r="L96" s="17">
        <v>7.2701581362080006E-2</v>
      </c>
      <c r="M96" s="19">
        <v>0</v>
      </c>
      <c r="N96" s="17">
        <v>4.6118791669209E-2</v>
      </c>
      <c r="O96" s="19">
        <v>6.1535836721304804E-5</v>
      </c>
      <c r="P96" s="17">
        <v>0</v>
      </c>
      <c r="Q96" s="19">
        <v>0</v>
      </c>
      <c r="R96" s="17">
        <v>0</v>
      </c>
      <c r="S96" s="19">
        <v>0</v>
      </c>
    </row>
    <row r="97" spans="1:19" x14ac:dyDescent="0.25">
      <c r="A97" s="3">
        <v>96</v>
      </c>
      <c r="B97" s="23">
        <v>120.16986408125707</v>
      </c>
      <c r="C97" s="18">
        <v>44791.603171296294</v>
      </c>
      <c r="D97" s="23">
        <v>5.0049399411408784</v>
      </c>
      <c r="E97" s="19">
        <v>19</v>
      </c>
      <c r="F97" s="17">
        <v>1</v>
      </c>
      <c r="G97" s="19">
        <v>-5.6272521018981934</v>
      </c>
      <c r="H97" s="17">
        <v>0.57227790355682373</v>
      </c>
      <c r="I97" s="17">
        <f t="shared" si="2"/>
        <v>-0.90036033630371093</v>
      </c>
      <c r="J97" s="17">
        <f t="shared" si="3"/>
        <v>-0.51525632570560442</v>
      </c>
      <c r="K97" s="19">
        <v>0</v>
      </c>
      <c r="L97" s="17">
        <v>7.4251031552378999E-2</v>
      </c>
      <c r="M97" s="19">
        <v>0</v>
      </c>
      <c r="N97" s="17">
        <v>4.7005742579179999E-2</v>
      </c>
      <c r="O97" s="19">
        <v>-6.1523911426775157E-5</v>
      </c>
      <c r="P97" s="17">
        <v>0</v>
      </c>
      <c r="Q97" s="19">
        <v>0</v>
      </c>
      <c r="R97" s="17">
        <v>0</v>
      </c>
      <c r="S97" s="19">
        <v>0</v>
      </c>
    </row>
    <row r="98" spans="1:19" x14ac:dyDescent="0.25">
      <c r="A98" s="3">
        <v>97</v>
      </c>
      <c r="B98" s="23">
        <v>121.17573652988962</v>
      </c>
      <c r="C98" s="18">
        <v>44791.603182870371</v>
      </c>
      <c r="D98" s="23">
        <v>1.002658387245758</v>
      </c>
      <c r="E98" s="19">
        <v>20</v>
      </c>
      <c r="F98" s="17">
        <v>1</v>
      </c>
      <c r="G98" s="19">
        <v>-5.939422607421875</v>
      </c>
      <c r="H98" s="17">
        <v>0.56304872035980225</v>
      </c>
      <c r="I98" s="17">
        <f t="shared" si="2"/>
        <v>-0.95030761718750001</v>
      </c>
      <c r="J98" s="17">
        <f t="shared" si="3"/>
        <v>-0.53506948780559471</v>
      </c>
      <c r="K98" s="19">
        <v>0</v>
      </c>
      <c r="L98" s="17">
        <v>7.5908107320018001E-2</v>
      </c>
      <c r="M98" s="19">
        <v>0</v>
      </c>
      <c r="N98" s="17">
        <v>4.7939174713615001E-2</v>
      </c>
      <c r="O98" s="19">
        <v>-1.8458366394042969E-3</v>
      </c>
      <c r="P98" s="17">
        <v>0</v>
      </c>
      <c r="Q98" s="19">
        <v>0</v>
      </c>
      <c r="R98" s="17">
        <v>0</v>
      </c>
      <c r="S98" s="19">
        <v>0</v>
      </c>
    </row>
    <row r="99" spans="1:19" x14ac:dyDescent="0.25">
      <c r="A99" s="3">
        <v>98</v>
      </c>
      <c r="B99" s="23">
        <v>122.1787151787792</v>
      </c>
      <c r="C99" s="18">
        <v>44791.603194444448</v>
      </c>
      <c r="D99" s="23">
        <v>2.005637039715586</v>
      </c>
      <c r="E99" s="19">
        <v>20</v>
      </c>
      <c r="F99" s="17">
        <v>1</v>
      </c>
      <c r="G99" s="19">
        <v>-5.939422607421875</v>
      </c>
      <c r="H99" s="17">
        <v>0.56181818246841431</v>
      </c>
      <c r="I99" s="17">
        <f t="shared" si="2"/>
        <v>-0.95030761718750001</v>
      </c>
      <c r="J99" s="17">
        <f t="shared" si="3"/>
        <v>-0.53390009827417084</v>
      </c>
      <c r="K99" s="19">
        <v>0</v>
      </c>
      <c r="L99" s="17">
        <v>7.7562967334443997E-2</v>
      </c>
      <c r="M99" s="19">
        <v>0</v>
      </c>
      <c r="N99" s="17">
        <v>4.8869642658045997E-2</v>
      </c>
      <c r="O99" s="19">
        <v>-2.0919442176818848E-3</v>
      </c>
      <c r="P99" s="17">
        <v>0</v>
      </c>
      <c r="Q99" s="19">
        <v>0</v>
      </c>
      <c r="R99" s="17">
        <v>0</v>
      </c>
      <c r="S99" s="19">
        <v>0</v>
      </c>
    </row>
    <row r="100" spans="1:19" x14ac:dyDescent="0.25">
      <c r="A100" s="3">
        <v>99</v>
      </c>
      <c r="B100" s="23">
        <v>123.18462239654004</v>
      </c>
      <c r="C100" s="18">
        <v>44791.603206018517</v>
      </c>
      <c r="D100" s="23">
        <v>3.011544253896195</v>
      </c>
      <c r="E100" s="19">
        <v>20</v>
      </c>
      <c r="F100" s="17">
        <v>1</v>
      </c>
      <c r="G100" s="19">
        <v>-5.9397921562194824</v>
      </c>
      <c r="H100" s="17">
        <v>0.56151056289672852</v>
      </c>
      <c r="I100" s="17">
        <f t="shared" si="2"/>
        <v>-0.9503667449951172</v>
      </c>
      <c r="J100" s="17">
        <f t="shared" si="3"/>
        <v>-0.53364096594053989</v>
      </c>
      <c r="K100" s="19">
        <v>0</v>
      </c>
      <c r="L100" s="17">
        <v>7.922265210243E-2</v>
      </c>
      <c r="M100" s="19">
        <v>0</v>
      </c>
      <c r="N100" s="17">
        <v>4.9801760161049001E-2</v>
      </c>
      <c r="O100" s="19">
        <v>-3.0763150425627828E-4</v>
      </c>
      <c r="P100" s="17">
        <v>0</v>
      </c>
      <c r="Q100" s="19">
        <v>0</v>
      </c>
      <c r="R100" s="17">
        <v>0</v>
      </c>
      <c r="S100" s="19">
        <v>0</v>
      </c>
    </row>
    <row r="101" spans="1:19" x14ac:dyDescent="0.25">
      <c r="A101" s="3">
        <v>100</v>
      </c>
      <c r="B101" s="23">
        <v>124.18954033353501</v>
      </c>
      <c r="C101" s="18">
        <v>44791.603217592594</v>
      </c>
      <c r="D101" s="23">
        <v>4.0164621908911569</v>
      </c>
      <c r="E101" s="19">
        <v>20</v>
      </c>
      <c r="F101" s="17">
        <v>1</v>
      </c>
      <c r="G101" s="19">
        <v>-5.939422607421875</v>
      </c>
      <c r="H101" s="17">
        <v>0.5621258020401001</v>
      </c>
      <c r="I101" s="17">
        <f t="shared" si="2"/>
        <v>-0.95030761718750001</v>
      </c>
      <c r="J101" s="17">
        <f t="shared" si="3"/>
        <v>-0.53419243149633988</v>
      </c>
      <c r="K101" s="19">
        <v>0</v>
      </c>
      <c r="L101" s="17">
        <v>8.0880727414797002E-2</v>
      </c>
      <c r="M101" s="19">
        <v>0</v>
      </c>
      <c r="N101" s="17">
        <v>5.0733446467231998E-2</v>
      </c>
      <c r="O101" s="19">
        <v>1.8458366685081273E-4</v>
      </c>
      <c r="P101" s="17">
        <v>0</v>
      </c>
      <c r="Q101" s="19">
        <v>0</v>
      </c>
      <c r="R101" s="17">
        <v>0</v>
      </c>
      <c r="S101" s="19">
        <v>0</v>
      </c>
    </row>
    <row r="102" spans="1:19" x14ac:dyDescent="0.25">
      <c r="A102" s="3">
        <v>101</v>
      </c>
      <c r="B102" s="23">
        <v>125.17783867337842</v>
      </c>
      <c r="C102" s="18">
        <v>44791.603229166663</v>
      </c>
      <c r="D102" s="23">
        <v>5.0047605307345577</v>
      </c>
      <c r="E102" s="19">
        <v>20</v>
      </c>
      <c r="F102" s="17">
        <v>1</v>
      </c>
      <c r="G102" s="19">
        <v>-5.9397921562194824</v>
      </c>
      <c r="H102" s="17">
        <v>0.56274110078811646</v>
      </c>
      <c r="I102" s="17">
        <f t="shared" si="2"/>
        <v>-0.9503667449951172</v>
      </c>
      <c r="J102" s="17">
        <f t="shared" si="3"/>
        <v>-0.53481042823097147</v>
      </c>
      <c r="K102" s="19">
        <v>0</v>
      </c>
      <c r="L102" s="17">
        <v>8.2511366561515004E-2</v>
      </c>
      <c r="M102" s="19">
        <v>0</v>
      </c>
      <c r="N102" s="17">
        <v>5.1650262311537999E-2</v>
      </c>
      <c r="O102" s="19">
        <v>2.4610757827758789E-4</v>
      </c>
      <c r="P102" s="17">
        <v>0</v>
      </c>
      <c r="Q102" s="19">
        <v>0</v>
      </c>
      <c r="R102" s="17">
        <v>0</v>
      </c>
      <c r="S102" s="19">
        <v>0</v>
      </c>
    </row>
    <row r="103" spans="1:19" x14ac:dyDescent="0.25">
      <c r="A103" s="3">
        <v>102</v>
      </c>
      <c r="B103" s="23">
        <v>126.18475923110798</v>
      </c>
      <c r="C103" s="18">
        <v>44791.60324074074</v>
      </c>
      <c r="D103" s="23">
        <v>1.0040418100253841</v>
      </c>
      <c r="E103" s="19">
        <v>21</v>
      </c>
      <c r="F103" s="17">
        <v>1</v>
      </c>
      <c r="G103" s="19">
        <v>-6.2527022361755371</v>
      </c>
      <c r="H103" s="17">
        <v>0.55320429801940918</v>
      </c>
      <c r="I103" s="17">
        <f t="shared" si="2"/>
        <v>-1.000432357788086</v>
      </c>
      <c r="J103" s="17">
        <f t="shared" si="3"/>
        <v>-0.55344348020606049</v>
      </c>
      <c r="K103" s="19">
        <v>0</v>
      </c>
      <c r="L103" s="17">
        <v>8.4256240016977998E-2</v>
      </c>
      <c r="M103" s="19">
        <v>0</v>
      </c>
      <c r="N103" s="17">
        <v>5.2616480719838002E-2</v>
      </c>
      <c r="O103" s="19">
        <v>-1.8458366394042969E-3</v>
      </c>
      <c r="P103" s="17">
        <v>0</v>
      </c>
      <c r="Q103" s="19">
        <v>0</v>
      </c>
      <c r="R103" s="17">
        <v>0</v>
      </c>
      <c r="S103" s="19">
        <v>0</v>
      </c>
    </row>
    <row r="104" spans="1:19" x14ac:dyDescent="0.25">
      <c r="A104" s="3">
        <v>103</v>
      </c>
      <c r="B104" s="23">
        <v>127.18870310872111</v>
      </c>
      <c r="C104" s="18">
        <v>44791.603252314817</v>
      </c>
      <c r="D104" s="23">
        <v>2.0079856876385098</v>
      </c>
      <c r="E104" s="19">
        <v>21</v>
      </c>
      <c r="F104" s="17">
        <v>1</v>
      </c>
      <c r="G104" s="19">
        <v>-6.2519626617431641</v>
      </c>
      <c r="H104" s="17">
        <v>0.55351197719573975</v>
      </c>
      <c r="I104" s="17">
        <f t="shared" si="2"/>
        <v>-1.0003140258789063</v>
      </c>
      <c r="J104" s="17">
        <f t="shared" si="3"/>
        <v>-0.55368579428086384</v>
      </c>
      <c r="K104" s="19">
        <v>0</v>
      </c>
      <c r="L104" s="17">
        <v>8.5999853549812003E-2</v>
      </c>
      <c r="M104" s="19">
        <v>0</v>
      </c>
      <c r="N104" s="17">
        <v>5.3581562404175997E-2</v>
      </c>
      <c r="O104" s="19">
        <v>-1.7843007808551192E-3</v>
      </c>
      <c r="P104" s="17">
        <v>0</v>
      </c>
      <c r="Q104" s="19">
        <v>0</v>
      </c>
      <c r="R104" s="17">
        <v>0</v>
      </c>
      <c r="S104" s="19">
        <v>0</v>
      </c>
    </row>
    <row r="105" spans="1:19" x14ac:dyDescent="0.25">
      <c r="A105" s="3">
        <v>104</v>
      </c>
      <c r="B105" s="23">
        <v>128.19846211105184</v>
      </c>
      <c r="C105" s="18">
        <v>44791.603263888886</v>
      </c>
      <c r="D105" s="23">
        <v>3.0177446899692462</v>
      </c>
      <c r="E105" s="19">
        <v>21</v>
      </c>
      <c r="F105" s="17">
        <v>1</v>
      </c>
      <c r="G105" s="19">
        <v>-6.2527022361755371</v>
      </c>
      <c r="H105" s="17">
        <v>0.55381959676742554</v>
      </c>
      <c r="I105" s="17">
        <f t="shared" si="2"/>
        <v>-1.000432357788086</v>
      </c>
      <c r="J105" s="17">
        <f t="shared" si="3"/>
        <v>-0.55405904498328262</v>
      </c>
      <c r="K105" s="19">
        <v>0</v>
      </c>
      <c r="L105" s="17">
        <v>8.7753582599150004E-2</v>
      </c>
      <c r="M105" s="19">
        <v>0</v>
      </c>
      <c r="N105" s="17">
        <v>5.4552562841440999E-2</v>
      </c>
      <c r="O105" s="19">
        <v>6.1523911426775157E-5</v>
      </c>
      <c r="P105" s="17">
        <v>0</v>
      </c>
      <c r="Q105" s="19">
        <v>0</v>
      </c>
      <c r="R105" s="17">
        <v>0</v>
      </c>
      <c r="S105" s="19">
        <v>0</v>
      </c>
    </row>
    <row r="106" spans="1:19" x14ac:dyDescent="0.25">
      <c r="A106" s="3">
        <v>105</v>
      </c>
      <c r="B106" s="23">
        <v>129.20435025437595</v>
      </c>
      <c r="C106" s="18">
        <v>44791.603275462963</v>
      </c>
      <c r="D106" s="23">
        <v>4.0236328368735927</v>
      </c>
      <c r="E106" s="19">
        <v>21</v>
      </c>
      <c r="F106" s="17">
        <v>1</v>
      </c>
      <c r="G106" s="19">
        <v>-6.2527022361755371</v>
      </c>
      <c r="H106" s="17">
        <v>0.55381959676742554</v>
      </c>
      <c r="I106" s="17">
        <f t="shared" si="2"/>
        <v>-1.000432357788086</v>
      </c>
      <c r="J106" s="17">
        <f t="shared" si="3"/>
        <v>-0.55405904498328262</v>
      </c>
      <c r="K106" s="19">
        <v>0</v>
      </c>
      <c r="L106" s="17">
        <v>8.9500567998966996E-2</v>
      </c>
      <c r="M106" s="19">
        <v>0</v>
      </c>
      <c r="N106" s="17">
        <v>5.5519994065945003E-2</v>
      </c>
      <c r="O106" s="19">
        <v>6.1523911426775157E-5</v>
      </c>
      <c r="P106" s="17">
        <v>0</v>
      </c>
      <c r="Q106" s="19">
        <v>0</v>
      </c>
      <c r="R106" s="17">
        <v>0</v>
      </c>
      <c r="S106" s="19">
        <v>0</v>
      </c>
    </row>
    <row r="107" spans="1:19" x14ac:dyDescent="0.25">
      <c r="A107" s="3">
        <v>106</v>
      </c>
      <c r="B107" s="23">
        <v>130.194624271869</v>
      </c>
      <c r="C107" s="18">
        <v>44791.60328703704</v>
      </c>
      <c r="D107" s="23">
        <v>5.0139068547246612</v>
      </c>
      <c r="E107" s="19">
        <v>21</v>
      </c>
      <c r="F107" s="17">
        <v>1</v>
      </c>
      <c r="G107" s="19">
        <v>-6.2523326873779297</v>
      </c>
      <c r="H107" s="17">
        <v>0.55381959676742554</v>
      </c>
      <c r="I107" s="17">
        <f t="shared" si="2"/>
        <v>-1.0003732299804688</v>
      </c>
      <c r="J107" s="17">
        <f t="shared" si="3"/>
        <v>-0.55402629884471033</v>
      </c>
      <c r="K107" s="19">
        <v>0</v>
      </c>
      <c r="L107" s="17">
        <v>9.1220442601610996E-2</v>
      </c>
      <c r="M107" s="19">
        <v>0</v>
      </c>
      <c r="N107" s="17">
        <v>5.6472730139211003E-2</v>
      </c>
      <c r="O107" s="19">
        <v>0</v>
      </c>
      <c r="P107" s="17">
        <v>0</v>
      </c>
      <c r="Q107" s="19">
        <v>0</v>
      </c>
      <c r="R107" s="17">
        <v>0</v>
      </c>
      <c r="S107" s="19">
        <v>0</v>
      </c>
    </row>
    <row r="108" spans="1:19" x14ac:dyDescent="0.25">
      <c r="A108" s="3">
        <v>107</v>
      </c>
      <c r="B108" s="23">
        <v>131.19952581889004</v>
      </c>
      <c r="C108" s="18">
        <v>44791.603298611109</v>
      </c>
      <c r="D108" s="23">
        <v>1.002015085334985</v>
      </c>
      <c r="E108" s="19">
        <v>22</v>
      </c>
      <c r="F108" s="17">
        <v>1</v>
      </c>
      <c r="G108" s="19">
        <v>-7.5028629302978516</v>
      </c>
      <c r="H108" s="17">
        <v>0.51905649900436401</v>
      </c>
      <c r="I108" s="17">
        <f t="shared" si="2"/>
        <v>-1.2004580688476563</v>
      </c>
      <c r="J108" s="17">
        <f t="shared" si="3"/>
        <v>-0.62310556241760429</v>
      </c>
      <c r="K108" s="19">
        <v>0</v>
      </c>
      <c r="L108" s="17">
        <v>9.3313608109683005E-2</v>
      </c>
      <c r="M108" s="19">
        <v>0</v>
      </c>
      <c r="N108" s="17">
        <v>5.7559996183413002E-2</v>
      </c>
      <c r="O108" s="19">
        <v>-1.2305497657507658E-3</v>
      </c>
      <c r="P108" s="17">
        <v>0</v>
      </c>
      <c r="Q108" s="19">
        <v>0</v>
      </c>
      <c r="R108" s="17">
        <v>0</v>
      </c>
      <c r="S108" s="19">
        <v>0</v>
      </c>
    </row>
    <row r="109" spans="1:19" x14ac:dyDescent="0.25">
      <c r="A109" s="3">
        <v>108</v>
      </c>
      <c r="B109" s="23">
        <v>132.20347463257804</v>
      </c>
      <c r="C109" s="18">
        <v>44791.603310185186</v>
      </c>
      <c r="D109" s="23">
        <v>2.0059639026031908</v>
      </c>
      <c r="E109" s="19">
        <v>22</v>
      </c>
      <c r="F109" s="17">
        <v>1</v>
      </c>
      <c r="G109" s="19">
        <v>-7.5021233558654785</v>
      </c>
      <c r="H109" s="17">
        <v>0.5193641185760498</v>
      </c>
      <c r="I109" s="17">
        <f t="shared" si="2"/>
        <v>-1.2003397369384765</v>
      </c>
      <c r="J109" s="17">
        <f t="shared" si="3"/>
        <v>-0.62341338946685931</v>
      </c>
      <c r="K109" s="19">
        <v>0</v>
      </c>
      <c r="L109" s="17">
        <v>9.5405898828713004E-2</v>
      </c>
      <c r="M109" s="19">
        <v>0</v>
      </c>
      <c r="N109" s="17">
        <v>5.8645817627054002E-2</v>
      </c>
      <c r="O109" s="19">
        <v>-1.1690258979797363E-3</v>
      </c>
      <c r="P109" s="17">
        <v>0</v>
      </c>
      <c r="Q109" s="19">
        <v>0</v>
      </c>
      <c r="R109" s="17">
        <v>0</v>
      </c>
      <c r="S109" s="19">
        <v>0</v>
      </c>
    </row>
    <row r="110" spans="1:19" x14ac:dyDescent="0.25">
      <c r="A110" s="3">
        <v>109</v>
      </c>
      <c r="B110" s="23">
        <v>133.20843009834914</v>
      </c>
      <c r="C110" s="18">
        <v>44791.603321759256</v>
      </c>
      <c r="D110" s="23">
        <v>3.010919364794082</v>
      </c>
      <c r="E110" s="19">
        <v>22</v>
      </c>
      <c r="F110" s="17">
        <v>1</v>
      </c>
      <c r="G110" s="19">
        <v>-7.5024929046630859</v>
      </c>
      <c r="H110" s="17">
        <v>0.51905649900436401</v>
      </c>
      <c r="I110" s="17">
        <f t="shared" si="2"/>
        <v>-1.2003988647460937</v>
      </c>
      <c r="J110" s="17">
        <f t="shared" si="3"/>
        <v>-0.62307483214392045</v>
      </c>
      <c r="K110" s="19">
        <v>0</v>
      </c>
      <c r="L110" s="17">
        <v>9.7500281588071003E-2</v>
      </c>
      <c r="M110" s="19">
        <v>0</v>
      </c>
      <c r="N110" s="17">
        <v>5.9733037250429999E-2</v>
      </c>
      <c r="O110" s="19">
        <v>6.1523911426775157E-5</v>
      </c>
      <c r="P110" s="17">
        <v>0</v>
      </c>
      <c r="Q110" s="19">
        <v>0</v>
      </c>
      <c r="R110" s="17">
        <v>0</v>
      </c>
      <c r="S110" s="19">
        <v>0</v>
      </c>
    </row>
    <row r="111" spans="1:19" x14ac:dyDescent="0.25">
      <c r="A111" s="3">
        <v>110</v>
      </c>
      <c r="B111" s="23">
        <v>134.2151973309322</v>
      </c>
      <c r="C111" s="18">
        <v>44791.603333333333</v>
      </c>
      <c r="D111" s="23">
        <v>4.0176866013153791</v>
      </c>
      <c r="E111" s="19">
        <v>22</v>
      </c>
      <c r="F111" s="17">
        <v>1</v>
      </c>
      <c r="G111" s="19">
        <v>-7.5028629302978516</v>
      </c>
      <c r="H111" s="17">
        <v>0.51905649900436401</v>
      </c>
      <c r="I111" s="17">
        <f t="shared" si="2"/>
        <v>-1.2004580688476563</v>
      </c>
      <c r="J111" s="17">
        <f t="shared" si="3"/>
        <v>-0.62310556241760429</v>
      </c>
      <c r="K111" s="19">
        <v>0</v>
      </c>
      <c r="L111" s="17">
        <v>9.9598437252709004E-2</v>
      </c>
      <c r="M111" s="19">
        <v>0</v>
      </c>
      <c r="N111" s="17">
        <v>6.0822359817502003E-2</v>
      </c>
      <c r="O111" s="19">
        <v>0</v>
      </c>
      <c r="P111" s="17">
        <v>0</v>
      </c>
      <c r="Q111" s="19">
        <v>0</v>
      </c>
      <c r="R111" s="17">
        <v>0</v>
      </c>
      <c r="S111" s="19">
        <v>0</v>
      </c>
    </row>
    <row r="112" spans="1:19" x14ac:dyDescent="0.25">
      <c r="A112" s="3">
        <v>111</v>
      </c>
      <c r="B112" s="23">
        <v>135.20260976223636</v>
      </c>
      <c r="C112" s="18">
        <v>44791.603344907409</v>
      </c>
      <c r="D112" s="23">
        <v>5.005099032261529</v>
      </c>
      <c r="E112" s="19">
        <v>22</v>
      </c>
      <c r="F112" s="17">
        <v>1</v>
      </c>
      <c r="G112" s="19">
        <v>-7.5024929046630859</v>
      </c>
      <c r="H112" s="17">
        <v>0.5193641185760498</v>
      </c>
      <c r="I112" s="17">
        <f t="shared" si="2"/>
        <v>-1.2003988647460937</v>
      </c>
      <c r="J112" s="17">
        <f t="shared" si="3"/>
        <v>-0.62344409832854575</v>
      </c>
      <c r="K112" s="19">
        <v>0</v>
      </c>
      <c r="L112" s="17">
        <v>0.101656248887846</v>
      </c>
      <c r="M112" s="19">
        <v>0</v>
      </c>
      <c r="N112" s="17">
        <v>6.1890797241079001E-2</v>
      </c>
      <c r="O112" s="19">
        <v>6.1523911426775157E-5</v>
      </c>
      <c r="P112" s="17">
        <v>0</v>
      </c>
      <c r="Q112" s="19">
        <v>0</v>
      </c>
      <c r="R112" s="17">
        <v>0</v>
      </c>
      <c r="S112" s="19">
        <v>0</v>
      </c>
    </row>
    <row r="113" spans="1:19" x14ac:dyDescent="0.25">
      <c r="A113" s="3">
        <v>112</v>
      </c>
      <c r="B113" s="23">
        <v>136.21142585791463</v>
      </c>
      <c r="C113" s="18">
        <v>44791.603356481479</v>
      </c>
      <c r="D113" s="23">
        <v>1.005948933983982</v>
      </c>
      <c r="E113" s="19">
        <v>23</v>
      </c>
      <c r="F113" s="17">
        <v>1</v>
      </c>
      <c r="G113" s="19">
        <v>-8.7526531219482422</v>
      </c>
      <c r="H113" s="17">
        <v>0.48644688725471497</v>
      </c>
      <c r="I113" s="17">
        <f t="shared" si="2"/>
        <v>-1.4004244995117188</v>
      </c>
      <c r="J113" s="17">
        <f t="shared" si="3"/>
        <v>-0.6812321386227177</v>
      </c>
      <c r="K113" s="19">
        <v>0</v>
      </c>
      <c r="L113" s="17">
        <v>0.10410792314147101</v>
      </c>
      <c r="M113" s="19">
        <v>0</v>
      </c>
      <c r="N113" s="17">
        <v>6.3084370353179001E-2</v>
      </c>
      <c r="O113" s="19">
        <v>-8.6138845654204488E-4</v>
      </c>
      <c r="P113" s="17">
        <v>0</v>
      </c>
      <c r="Q113" s="19">
        <v>0</v>
      </c>
      <c r="R113" s="17">
        <v>0</v>
      </c>
      <c r="S113" s="19">
        <v>0</v>
      </c>
    </row>
    <row r="114" spans="1:19" x14ac:dyDescent="0.25">
      <c r="A114" s="3">
        <v>113</v>
      </c>
      <c r="B114" s="23">
        <v>137.21733802284908</v>
      </c>
      <c r="C114" s="18">
        <v>44791.603368055556</v>
      </c>
      <c r="D114" s="23">
        <v>2.0118610953381721</v>
      </c>
      <c r="E114" s="19">
        <v>23</v>
      </c>
      <c r="F114" s="17">
        <v>1</v>
      </c>
      <c r="G114" s="19">
        <v>-8.7530231475830078</v>
      </c>
      <c r="H114" s="17">
        <v>0.48613923788070679</v>
      </c>
      <c r="I114" s="17">
        <f t="shared" si="2"/>
        <v>-1.4004837036132813</v>
      </c>
      <c r="J114" s="17">
        <f t="shared" si="3"/>
        <v>-0.68083008033891024</v>
      </c>
      <c r="K114" s="19">
        <v>0</v>
      </c>
      <c r="L114" s="17">
        <v>0.106553574609682</v>
      </c>
      <c r="M114" s="19">
        <v>0</v>
      </c>
      <c r="N114" s="17">
        <v>6.4274092154958995E-2</v>
      </c>
      <c r="O114" s="19">
        <v>-9.2291831970214844E-4</v>
      </c>
      <c r="P114" s="17">
        <v>0</v>
      </c>
      <c r="Q114" s="19">
        <v>0</v>
      </c>
      <c r="R114" s="17">
        <v>0</v>
      </c>
      <c r="S114" s="19">
        <v>0</v>
      </c>
    </row>
    <row r="115" spans="1:19" x14ac:dyDescent="0.25">
      <c r="A115" s="3">
        <v>114</v>
      </c>
      <c r="B115" s="23">
        <v>138.22128396804993</v>
      </c>
      <c r="C115" s="18">
        <v>44791.603379629632</v>
      </c>
      <c r="D115" s="23">
        <v>3.0158070405390411</v>
      </c>
      <c r="E115" s="19">
        <v>23</v>
      </c>
      <c r="F115" s="17">
        <v>1</v>
      </c>
      <c r="G115" s="19">
        <v>-8.7526531219482422</v>
      </c>
      <c r="H115" s="17">
        <v>0.48644688725471497</v>
      </c>
      <c r="I115" s="17">
        <f t="shared" si="2"/>
        <v>-1.4004244995117188</v>
      </c>
      <c r="J115" s="17">
        <f t="shared" si="3"/>
        <v>-0.6812321386227177</v>
      </c>
      <c r="K115" s="19">
        <v>0</v>
      </c>
      <c r="L115" s="17">
        <v>0.108994447171888</v>
      </c>
      <c r="M115" s="19">
        <v>0</v>
      </c>
      <c r="N115" s="17">
        <v>6.5461641310727001E-2</v>
      </c>
      <c r="O115" s="19">
        <v>0</v>
      </c>
      <c r="P115" s="17">
        <v>0</v>
      </c>
      <c r="Q115" s="19">
        <v>0</v>
      </c>
      <c r="R115" s="17">
        <v>0</v>
      </c>
      <c r="S115" s="19">
        <v>0</v>
      </c>
    </row>
    <row r="116" spans="1:19" x14ac:dyDescent="0.25">
      <c r="A116" s="3">
        <v>115</v>
      </c>
      <c r="B116" s="23">
        <v>139.23598458385098</v>
      </c>
      <c r="C116" s="18">
        <v>44791.603391203702</v>
      </c>
      <c r="D116" s="23">
        <v>4.030507656340065</v>
      </c>
      <c r="E116" s="19">
        <v>23</v>
      </c>
      <c r="F116" s="17">
        <v>1</v>
      </c>
      <c r="G116" s="19">
        <v>-8.7526531219482422</v>
      </c>
      <c r="H116" s="17">
        <v>0.48675453662872314</v>
      </c>
      <c r="I116" s="17">
        <f t="shared" si="2"/>
        <v>-1.4004244995117188</v>
      </c>
      <c r="J116" s="17">
        <f t="shared" si="3"/>
        <v>-0.68166297834333822</v>
      </c>
      <c r="K116" s="19">
        <v>0</v>
      </c>
      <c r="L116" s="17">
        <v>0.111461479521913</v>
      </c>
      <c r="M116" s="19">
        <v>0</v>
      </c>
      <c r="N116" s="17">
        <v>6.6661953716679004E-2</v>
      </c>
      <c r="O116" s="19">
        <v>6.1529877712018788E-5</v>
      </c>
      <c r="P116" s="17">
        <v>0</v>
      </c>
      <c r="Q116" s="19">
        <v>0</v>
      </c>
      <c r="R116" s="17">
        <v>0</v>
      </c>
      <c r="S116" s="19">
        <v>0</v>
      </c>
    </row>
    <row r="117" spans="1:19" x14ac:dyDescent="0.25">
      <c r="A117" s="3">
        <v>116</v>
      </c>
      <c r="B117" s="23">
        <v>140.21637330287746</v>
      </c>
      <c r="C117" s="18">
        <v>44791.603402777779</v>
      </c>
      <c r="D117" s="23">
        <v>5.01089637930479</v>
      </c>
      <c r="E117" s="19">
        <v>23</v>
      </c>
      <c r="F117" s="17">
        <v>1</v>
      </c>
      <c r="G117" s="19">
        <v>-8.7526531219482422</v>
      </c>
      <c r="H117" s="17">
        <v>0.48644688725471497</v>
      </c>
      <c r="I117" s="17">
        <f t="shared" si="2"/>
        <v>-1.4004244995117188</v>
      </c>
      <c r="J117" s="17">
        <f t="shared" si="3"/>
        <v>-0.6812321386227177</v>
      </c>
      <c r="K117" s="19">
        <v>0</v>
      </c>
      <c r="L117" s="17">
        <v>0.113845091372273</v>
      </c>
      <c r="M117" s="19">
        <v>0</v>
      </c>
      <c r="N117" s="17">
        <v>6.7821708748536005E-2</v>
      </c>
      <c r="O117" s="19">
        <v>0</v>
      </c>
      <c r="P117" s="17">
        <v>0</v>
      </c>
      <c r="Q117" s="19">
        <v>0</v>
      </c>
      <c r="R117" s="17">
        <v>0</v>
      </c>
      <c r="S117" s="19">
        <v>0</v>
      </c>
    </row>
    <row r="118" spans="1:19" x14ac:dyDescent="0.25">
      <c r="A118" s="3">
        <v>117</v>
      </c>
      <c r="B118" s="23">
        <v>141.21946869904875</v>
      </c>
      <c r="C118" s="18">
        <v>44791.603414351855</v>
      </c>
      <c r="D118" s="23">
        <v>1.000239113747758</v>
      </c>
      <c r="E118" s="19">
        <v>24</v>
      </c>
      <c r="F118" s="17">
        <v>1</v>
      </c>
      <c r="G118" s="19">
        <v>-10.003183364868164</v>
      </c>
      <c r="H118" s="17">
        <v>0.45506781339645386</v>
      </c>
      <c r="I118" s="17">
        <f t="shared" si="2"/>
        <v>-1.6005093383789062</v>
      </c>
      <c r="J118" s="17">
        <f t="shared" si="3"/>
        <v>-0.72834028493669389</v>
      </c>
      <c r="K118" s="19">
        <v>0</v>
      </c>
      <c r="L118" s="17">
        <v>0.116631278026256</v>
      </c>
      <c r="M118" s="19">
        <v>0</v>
      </c>
      <c r="N118" s="17">
        <v>6.9091856678770006E-2</v>
      </c>
      <c r="O118" s="19">
        <v>-3.0763744143769145E-4</v>
      </c>
      <c r="P118" s="17">
        <v>0</v>
      </c>
      <c r="Q118" s="19">
        <v>0</v>
      </c>
      <c r="R118" s="17">
        <v>0</v>
      </c>
      <c r="S118" s="19">
        <v>0</v>
      </c>
    </row>
    <row r="119" spans="1:19" x14ac:dyDescent="0.25">
      <c r="A119" s="3">
        <v>118</v>
      </c>
      <c r="B119" s="23">
        <v>142.22335592511573</v>
      </c>
      <c r="C119" s="18">
        <v>44791.603425925925</v>
      </c>
      <c r="D119" s="23">
        <v>2.004126339814758</v>
      </c>
      <c r="E119" s="19">
        <v>24</v>
      </c>
      <c r="F119" s="17">
        <v>1</v>
      </c>
      <c r="G119" s="19">
        <v>-10.003183364868164</v>
      </c>
      <c r="H119" s="17">
        <v>0.45568308234214783</v>
      </c>
      <c r="I119" s="17">
        <f t="shared" si="2"/>
        <v>-1.6005093383789062</v>
      </c>
      <c r="J119" s="17">
        <f t="shared" si="3"/>
        <v>-0.72932502862989168</v>
      </c>
      <c r="K119" s="19">
        <v>0</v>
      </c>
      <c r="L119" s="17">
        <v>0.1194206944625</v>
      </c>
      <c r="M119" s="19">
        <v>0</v>
      </c>
      <c r="N119" s="17">
        <v>7.0362639585243997E-2</v>
      </c>
      <c r="O119" s="19">
        <v>-1.8458366685081273E-4</v>
      </c>
      <c r="P119" s="17">
        <v>0</v>
      </c>
      <c r="Q119" s="19">
        <v>0</v>
      </c>
      <c r="R119" s="17">
        <v>0</v>
      </c>
      <c r="S119" s="19">
        <v>0</v>
      </c>
    </row>
    <row r="120" spans="1:19" x14ac:dyDescent="0.25">
      <c r="A120" s="3">
        <v>119</v>
      </c>
      <c r="B120" s="23">
        <v>143.22835126901555</v>
      </c>
      <c r="C120" s="18">
        <v>44791.603437500002</v>
      </c>
      <c r="D120" s="23">
        <v>3.0091216987515712</v>
      </c>
      <c r="E120" s="19">
        <v>24</v>
      </c>
      <c r="F120" s="17">
        <v>1</v>
      </c>
      <c r="G120" s="19">
        <v>-10.00355339050293</v>
      </c>
      <c r="H120" s="17">
        <v>0.45537543296813965</v>
      </c>
      <c r="I120" s="17">
        <f t="shared" si="2"/>
        <v>-1.6005685424804688</v>
      </c>
      <c r="J120" s="17">
        <f t="shared" si="3"/>
        <v>-0.72885959302722769</v>
      </c>
      <c r="K120" s="19">
        <v>0</v>
      </c>
      <c r="L120" s="17">
        <v>0.122213189383289</v>
      </c>
      <c r="M120" s="19">
        <v>0</v>
      </c>
      <c r="N120" s="17">
        <v>7.1634736456226006E-2</v>
      </c>
      <c r="O120" s="19">
        <v>-6.1529877712018788E-5</v>
      </c>
      <c r="P120" s="17">
        <v>0</v>
      </c>
      <c r="Q120" s="19">
        <v>0</v>
      </c>
      <c r="R120" s="17">
        <v>0</v>
      </c>
      <c r="S120" s="19">
        <v>0</v>
      </c>
    </row>
    <row r="121" spans="1:19" x14ac:dyDescent="0.25">
      <c r="A121" s="3">
        <v>120</v>
      </c>
      <c r="B121" s="23">
        <v>144.23321915176987</v>
      </c>
      <c r="C121" s="18">
        <v>44791.603449074071</v>
      </c>
      <c r="D121" s="23">
        <v>4.0139895664689194</v>
      </c>
      <c r="E121" s="19">
        <v>24</v>
      </c>
      <c r="F121" s="17">
        <v>1</v>
      </c>
      <c r="G121" s="19">
        <v>-10.002813339233398</v>
      </c>
      <c r="H121" s="17">
        <v>0.45599070191383362</v>
      </c>
      <c r="I121" s="17">
        <f t="shared" si="2"/>
        <v>-1.6004501342773438</v>
      </c>
      <c r="J121" s="17">
        <f t="shared" si="3"/>
        <v>-0.72979038010721531</v>
      </c>
      <c r="K121" s="19">
        <v>0</v>
      </c>
      <c r="L121" s="17">
        <v>0.12500534046216499</v>
      </c>
      <c r="M121" s="19">
        <v>0</v>
      </c>
      <c r="N121" s="17">
        <v>7.2906683192848001E-2</v>
      </c>
      <c r="O121" s="19">
        <v>6.1523911426775157E-5</v>
      </c>
      <c r="P121" s="17">
        <v>0</v>
      </c>
      <c r="Q121" s="19">
        <v>0</v>
      </c>
      <c r="R121" s="17">
        <v>0</v>
      </c>
      <c r="S121" s="19">
        <v>0</v>
      </c>
    </row>
    <row r="122" spans="1:19" x14ac:dyDescent="0.25">
      <c r="A122" s="3">
        <v>121</v>
      </c>
      <c r="B122" s="23">
        <v>145.2234853689973</v>
      </c>
      <c r="C122" s="18">
        <v>44791.603460648141</v>
      </c>
      <c r="D122" s="23">
        <v>5.0042557836963093</v>
      </c>
      <c r="E122" s="19">
        <v>24</v>
      </c>
      <c r="F122" s="17">
        <v>1</v>
      </c>
      <c r="G122" s="19">
        <v>-10.003183364868164</v>
      </c>
      <c r="H122" s="17">
        <v>0.45568308234214783</v>
      </c>
      <c r="I122" s="17">
        <f t="shared" si="2"/>
        <v>-1.6005093383789062</v>
      </c>
      <c r="J122" s="17">
        <f t="shared" si="3"/>
        <v>-0.72932502862989168</v>
      </c>
      <c r="K122" s="19">
        <v>0</v>
      </c>
      <c r="L122" s="17">
        <v>0.12775691442696199</v>
      </c>
      <c r="M122" s="19">
        <v>0</v>
      </c>
      <c r="N122" s="17">
        <v>7.4160307341268994E-2</v>
      </c>
      <c r="O122" s="19">
        <v>6.1529877712018788E-5</v>
      </c>
      <c r="P122" s="17">
        <v>0</v>
      </c>
      <c r="Q122" s="19">
        <v>0</v>
      </c>
      <c r="R122" s="17">
        <v>0</v>
      </c>
      <c r="S122" s="19">
        <v>0</v>
      </c>
    </row>
    <row r="123" spans="1:19" x14ac:dyDescent="0.25">
      <c r="A123" s="3">
        <v>122</v>
      </c>
      <c r="B123" s="23">
        <v>146.23432960642438</v>
      </c>
      <c r="C123" s="18">
        <v>44791.603472222225</v>
      </c>
      <c r="D123" s="23">
        <v>1.007668389000075</v>
      </c>
      <c r="E123" s="19">
        <v>25</v>
      </c>
      <c r="F123" s="17">
        <v>1</v>
      </c>
      <c r="G123" s="19">
        <v>-11.258390426635742</v>
      </c>
      <c r="H123" s="17">
        <v>0.42522689700126648</v>
      </c>
      <c r="I123" s="17">
        <f t="shared" si="2"/>
        <v>-1.8013424682617187</v>
      </c>
      <c r="J123" s="17">
        <f t="shared" si="3"/>
        <v>-0.76597926821553297</v>
      </c>
      <c r="K123" s="19">
        <v>0</v>
      </c>
      <c r="L123" s="17">
        <v>0.130772443591787</v>
      </c>
      <c r="M123" s="19">
        <v>0</v>
      </c>
      <c r="N123" s="17">
        <v>7.5471679482700005E-2</v>
      </c>
      <c r="O123" s="19">
        <v>-6.0912370681762695E-3</v>
      </c>
      <c r="P123" s="17">
        <v>0</v>
      </c>
      <c r="Q123" s="19">
        <v>0</v>
      </c>
      <c r="R123" s="17">
        <v>0</v>
      </c>
      <c r="S123" s="19">
        <v>0</v>
      </c>
    </row>
    <row r="124" spans="1:19" x14ac:dyDescent="0.25">
      <c r="A124" s="3">
        <v>123</v>
      </c>
      <c r="B124" s="23">
        <v>147.23623991035083</v>
      </c>
      <c r="C124" s="18">
        <v>44791.603483796294</v>
      </c>
      <c r="D124" s="23">
        <v>2.0095786925684989</v>
      </c>
      <c r="E124" s="19">
        <v>25</v>
      </c>
      <c r="F124" s="17">
        <v>1</v>
      </c>
      <c r="G124" s="19">
        <v>-11.26026725769043</v>
      </c>
      <c r="H124" s="17">
        <v>0.42522689700126648</v>
      </c>
      <c r="I124" s="17">
        <f t="shared" si="2"/>
        <v>-1.8016427612304688</v>
      </c>
      <c r="J124" s="17">
        <f t="shared" si="3"/>
        <v>-0.76610696086282593</v>
      </c>
      <c r="K124" s="19">
        <v>0</v>
      </c>
      <c r="L124" s="17">
        <v>0.133905490876945</v>
      </c>
      <c r="M124" s="19">
        <v>0</v>
      </c>
      <c r="N124" s="17">
        <v>7.6804206425372001E-2</v>
      </c>
      <c r="O124" s="19">
        <v>-6.0912370681762695E-3</v>
      </c>
      <c r="P124" s="17">
        <v>0</v>
      </c>
      <c r="Q124" s="19">
        <v>0</v>
      </c>
      <c r="R124" s="17">
        <v>0</v>
      </c>
      <c r="S124" s="19">
        <v>0</v>
      </c>
    </row>
    <row r="125" spans="1:19" x14ac:dyDescent="0.25">
      <c r="A125" s="3">
        <v>124</v>
      </c>
      <c r="B125" s="23">
        <v>148.24217950277648</v>
      </c>
      <c r="C125" s="18">
        <v>44791.603495370371</v>
      </c>
      <c r="D125" s="23">
        <v>3.0155182814139079</v>
      </c>
      <c r="E125" s="19">
        <v>25</v>
      </c>
      <c r="F125" s="17">
        <v>1</v>
      </c>
      <c r="G125" s="19">
        <v>-11.26026725769043</v>
      </c>
      <c r="H125" s="17">
        <v>0.42522689700126648</v>
      </c>
      <c r="I125" s="17">
        <f t="shared" si="2"/>
        <v>-1.8016427612304688</v>
      </c>
      <c r="J125" s="17">
        <f t="shared" si="3"/>
        <v>-0.76610696086282593</v>
      </c>
      <c r="K125" s="19">
        <v>0</v>
      </c>
      <c r="L125" s="17">
        <v>0.13705107055404001</v>
      </c>
      <c r="M125" s="19">
        <v>0</v>
      </c>
      <c r="N125" s="17">
        <v>7.8141866421073E-2</v>
      </c>
      <c r="O125" s="19">
        <v>-6.1529877712018788E-5</v>
      </c>
      <c r="P125" s="17">
        <v>0</v>
      </c>
      <c r="Q125" s="19">
        <v>0</v>
      </c>
      <c r="R125" s="17">
        <v>0</v>
      </c>
      <c r="S125" s="19">
        <v>0</v>
      </c>
    </row>
    <row r="126" spans="1:19" x14ac:dyDescent="0.25">
      <c r="A126" s="3">
        <v>125</v>
      </c>
      <c r="B126" s="23">
        <v>149.24804619187933</v>
      </c>
      <c r="C126" s="18">
        <v>44791.603506944448</v>
      </c>
      <c r="D126" s="23">
        <v>4.0213849705167357</v>
      </c>
      <c r="E126" s="19">
        <v>25</v>
      </c>
      <c r="F126" s="17">
        <v>1</v>
      </c>
      <c r="G126" s="19">
        <v>-11.258390426635742</v>
      </c>
      <c r="H126" s="17">
        <v>0.42461162805557251</v>
      </c>
      <c r="I126" s="17">
        <f t="shared" si="2"/>
        <v>-1.8013424682617187</v>
      </c>
      <c r="J126" s="17">
        <f t="shared" si="3"/>
        <v>-0.76487095813425188</v>
      </c>
      <c r="K126" s="19">
        <v>0</v>
      </c>
      <c r="L126" s="17">
        <v>0.140196383326436</v>
      </c>
      <c r="M126" s="19">
        <v>0</v>
      </c>
      <c r="N126" s="17">
        <v>7.9479398967051001E-2</v>
      </c>
      <c r="O126" s="19">
        <v>-6.1529877712018788E-5</v>
      </c>
      <c r="P126" s="17">
        <v>0</v>
      </c>
      <c r="Q126" s="19">
        <v>0</v>
      </c>
      <c r="R126" s="17">
        <v>0</v>
      </c>
      <c r="S126" s="19">
        <v>0</v>
      </c>
    </row>
    <row r="127" spans="1:19" x14ac:dyDescent="0.25">
      <c r="A127" s="3">
        <v>126</v>
      </c>
      <c r="B127" s="23">
        <v>150.23733597387857</v>
      </c>
      <c r="C127" s="18">
        <v>44791.603518518517</v>
      </c>
      <c r="D127" s="23">
        <v>5.0106747525160129</v>
      </c>
      <c r="E127" s="19">
        <v>25</v>
      </c>
      <c r="F127" s="17">
        <v>1</v>
      </c>
      <c r="G127" s="19">
        <v>-11.256514549255371</v>
      </c>
      <c r="H127" s="17">
        <v>0.42522689700126648</v>
      </c>
      <c r="I127" s="17">
        <f t="shared" si="2"/>
        <v>-1.8010423278808594</v>
      </c>
      <c r="J127" s="17">
        <f t="shared" si="3"/>
        <v>-0.76585164045271537</v>
      </c>
      <c r="K127" s="19">
        <v>0</v>
      </c>
      <c r="L127" s="17">
        <v>0.143289870689743</v>
      </c>
      <c r="M127" s="19">
        <v>0</v>
      </c>
      <c r="N127" s="17">
        <v>8.0794771966874998E-2</v>
      </c>
      <c r="O127" s="19">
        <v>0</v>
      </c>
      <c r="P127" s="17">
        <v>0</v>
      </c>
      <c r="Q127" s="19">
        <v>0</v>
      </c>
      <c r="R127" s="17">
        <v>0</v>
      </c>
      <c r="S127" s="19">
        <v>0</v>
      </c>
    </row>
    <row r="128" spans="1:19" x14ac:dyDescent="0.25">
      <c r="A128" s="3">
        <v>127</v>
      </c>
      <c r="B128" s="23">
        <v>151.24527506292267</v>
      </c>
      <c r="C128" s="18">
        <v>44791.603530092594</v>
      </c>
      <c r="D128" s="23">
        <v>1.0050334967115511</v>
      </c>
      <c r="E128" s="19">
        <v>26</v>
      </c>
      <c r="F128" s="17">
        <v>1</v>
      </c>
      <c r="G128" s="19">
        <v>-12.507847785949707</v>
      </c>
      <c r="H128" s="17">
        <v>0.39600127935409546</v>
      </c>
      <c r="I128" s="17">
        <f t="shared" si="2"/>
        <v>-2.0012556457519532</v>
      </c>
      <c r="J128" s="17">
        <f t="shared" si="3"/>
        <v>-0.79249979603237997</v>
      </c>
      <c r="K128" s="19">
        <v>0</v>
      </c>
      <c r="L128" s="17">
        <v>0.14679084072926199</v>
      </c>
      <c r="M128" s="19">
        <v>0</v>
      </c>
      <c r="N128" s="17">
        <v>8.2183415375628996E-2</v>
      </c>
      <c r="O128" s="19">
        <v>-4.3069719686172903E-4</v>
      </c>
      <c r="P128" s="17">
        <v>0</v>
      </c>
      <c r="Q128" s="19">
        <v>0</v>
      </c>
      <c r="R128" s="17">
        <v>0</v>
      </c>
      <c r="S128" s="19">
        <v>0</v>
      </c>
    </row>
    <row r="129" spans="1:19" x14ac:dyDescent="0.25">
      <c r="A129" s="3">
        <v>128</v>
      </c>
      <c r="B129" s="23">
        <v>152.24912028670553</v>
      </c>
      <c r="C129" s="18">
        <v>44791.603541666664</v>
      </c>
      <c r="D129" s="23">
        <v>2.008878720494359</v>
      </c>
      <c r="E129" s="19">
        <v>26</v>
      </c>
      <c r="F129" s="17">
        <v>1</v>
      </c>
      <c r="G129" s="19">
        <v>-12.507847785949707</v>
      </c>
      <c r="H129" s="17">
        <v>0.39630892872810364</v>
      </c>
      <c r="I129" s="17">
        <f t="shared" si="2"/>
        <v>-2.0012556457519532</v>
      </c>
      <c r="J129" s="17">
        <f t="shared" si="3"/>
        <v>-0.79311548107902585</v>
      </c>
      <c r="K129" s="19">
        <v>0</v>
      </c>
      <c r="L129" s="17">
        <v>0.150278815209299</v>
      </c>
      <c r="M129" s="19">
        <v>0</v>
      </c>
      <c r="N129" s="17">
        <v>8.3565486057558994E-2</v>
      </c>
      <c r="O129" s="19">
        <v>-3.6916733370162547E-4</v>
      </c>
      <c r="P129" s="17">
        <v>0</v>
      </c>
      <c r="Q129" s="19">
        <v>0</v>
      </c>
      <c r="R129" s="17">
        <v>0</v>
      </c>
      <c r="S129" s="19">
        <v>0</v>
      </c>
    </row>
    <row r="130" spans="1:19" x14ac:dyDescent="0.25">
      <c r="A130" s="3">
        <v>129</v>
      </c>
      <c r="B130" s="23">
        <v>153.25296693506522</v>
      </c>
      <c r="C130" s="18">
        <v>44791.60355324074</v>
      </c>
      <c r="D130" s="23">
        <v>3.0127253688540732</v>
      </c>
      <c r="E130" s="19">
        <v>26</v>
      </c>
      <c r="F130" s="17">
        <v>1</v>
      </c>
      <c r="G130" s="19">
        <v>-12.507847785949707</v>
      </c>
      <c r="H130" s="17">
        <v>0.39630892872810364</v>
      </c>
      <c r="I130" s="17">
        <f t="shared" si="2"/>
        <v>-2.0012556457519532</v>
      </c>
      <c r="J130" s="17">
        <f t="shared" si="3"/>
        <v>-0.79311548107902585</v>
      </c>
      <c r="K130" s="19">
        <v>0</v>
      </c>
      <c r="L130" s="17">
        <v>0.153766688445657</v>
      </c>
      <c r="M130" s="19">
        <v>0</v>
      </c>
      <c r="N130" s="17">
        <v>8.4947275381844004E-2</v>
      </c>
      <c r="O130" s="19">
        <v>6.1529877712018788E-5</v>
      </c>
      <c r="P130" s="17">
        <v>0</v>
      </c>
      <c r="Q130" s="19">
        <v>0</v>
      </c>
      <c r="R130" s="17">
        <v>0</v>
      </c>
      <c r="S130" s="19">
        <v>0</v>
      </c>
    </row>
    <row r="131" spans="1:19" x14ac:dyDescent="0.25">
      <c r="A131" s="3">
        <v>130</v>
      </c>
      <c r="B131" s="23">
        <v>154.25606268460606</v>
      </c>
      <c r="C131" s="18">
        <v>44791.603564814817</v>
      </c>
      <c r="D131" s="23">
        <v>4.0158211183949071</v>
      </c>
      <c r="E131" s="19">
        <v>26</v>
      </c>
      <c r="F131" s="17">
        <v>1</v>
      </c>
      <c r="G131" s="19">
        <v>-12.509724617004395</v>
      </c>
      <c r="H131" s="17">
        <v>0.39600127935409546</v>
      </c>
      <c r="I131" s="17">
        <f t="shared" si="2"/>
        <v>-2.0015559387207031</v>
      </c>
      <c r="J131" s="17">
        <f t="shared" si="3"/>
        <v>-0.79261871243218596</v>
      </c>
      <c r="K131" s="19">
        <v>0</v>
      </c>
      <c r="L131" s="17">
        <v>0.15725191527910401</v>
      </c>
      <c r="M131" s="19">
        <v>0</v>
      </c>
      <c r="N131" s="17">
        <v>8.6327940905152001E-2</v>
      </c>
      <c r="O131" s="19">
        <v>0</v>
      </c>
      <c r="P131" s="17">
        <v>0</v>
      </c>
      <c r="Q131" s="19">
        <v>0</v>
      </c>
      <c r="R131" s="17">
        <v>0</v>
      </c>
      <c r="S131" s="19">
        <v>0</v>
      </c>
    </row>
    <row r="132" spans="1:19" x14ac:dyDescent="0.25">
      <c r="A132" s="3">
        <v>131</v>
      </c>
      <c r="B132" s="23">
        <v>155.25215196966823</v>
      </c>
      <c r="C132" s="18">
        <v>44791.603576388887</v>
      </c>
      <c r="D132" s="23">
        <v>5.0119104070373171</v>
      </c>
      <c r="E132" s="19">
        <v>26</v>
      </c>
      <c r="F132" s="17">
        <v>1</v>
      </c>
      <c r="G132" s="19">
        <v>-12.507847785949707</v>
      </c>
      <c r="H132" s="17">
        <v>0.39630892872810364</v>
      </c>
      <c r="I132" s="17">
        <f t="shared" si="2"/>
        <v>-2.0012556457519532</v>
      </c>
      <c r="J132" s="17">
        <f t="shared" si="3"/>
        <v>-0.79311548107902585</v>
      </c>
      <c r="K132" s="19">
        <v>0</v>
      </c>
      <c r="L132" s="17">
        <v>0.16071288577155601</v>
      </c>
      <c r="M132" s="19">
        <v>0</v>
      </c>
      <c r="N132" s="17">
        <v>8.7698685335615006E-2</v>
      </c>
      <c r="O132" s="19">
        <v>0</v>
      </c>
      <c r="P132" s="17">
        <v>0</v>
      </c>
      <c r="Q132" s="19">
        <v>0</v>
      </c>
      <c r="R132" s="17">
        <v>0</v>
      </c>
      <c r="S132" s="19">
        <v>0</v>
      </c>
    </row>
    <row r="133" spans="1:19" x14ac:dyDescent="0.25">
      <c r="A133" s="3">
        <v>132</v>
      </c>
      <c r="B133" s="23">
        <v>156.25999403603868</v>
      </c>
      <c r="C133" s="18">
        <v>44791.603587962964</v>
      </c>
      <c r="D133" s="23">
        <v>1.004970608031907</v>
      </c>
      <c r="E133" s="19">
        <v>27</v>
      </c>
      <c r="F133" s="17">
        <v>1</v>
      </c>
      <c r="G133" s="19">
        <v>-13.757305145263672</v>
      </c>
      <c r="H133" s="17">
        <v>0.36769858002662659</v>
      </c>
      <c r="I133" s="17">
        <f t="shared" si="2"/>
        <v>-2.2011688232421873</v>
      </c>
      <c r="J133" s="17">
        <f t="shared" si="3"/>
        <v>-0.80936665070503289</v>
      </c>
      <c r="K133" s="19">
        <v>0</v>
      </c>
      <c r="L133" s="17">
        <v>0.16455422110375001</v>
      </c>
      <c r="M133" s="19">
        <v>0</v>
      </c>
      <c r="N133" s="17">
        <v>8.9116045836117999E-2</v>
      </c>
      <c r="O133" s="19">
        <v>-5.6605399586260319E-3</v>
      </c>
      <c r="P133" s="17">
        <v>0</v>
      </c>
      <c r="Q133" s="19">
        <v>0</v>
      </c>
      <c r="R133" s="17">
        <v>0</v>
      </c>
      <c r="S133" s="19">
        <v>0</v>
      </c>
    </row>
    <row r="134" spans="1:19" x14ac:dyDescent="0.25">
      <c r="A134" s="3">
        <v>133</v>
      </c>
      <c r="B134" s="23">
        <v>157.26590986606328</v>
      </c>
      <c r="C134" s="18">
        <v>44791.60359953704</v>
      </c>
      <c r="D134" s="23">
        <v>2.0108864384145271</v>
      </c>
      <c r="E134" s="19">
        <v>27</v>
      </c>
      <c r="F134" s="17">
        <v>1</v>
      </c>
      <c r="G134" s="19">
        <v>-13.759181976318359</v>
      </c>
      <c r="H134" s="17">
        <v>0.36800622940063477</v>
      </c>
      <c r="I134" s="17">
        <f t="shared" si="2"/>
        <v>-2.2014691162109377</v>
      </c>
      <c r="J134" s="17">
        <f t="shared" si="3"/>
        <v>-0.81015434859873503</v>
      </c>
      <c r="K134" s="19">
        <v>0</v>
      </c>
      <c r="L134" s="17">
        <v>0.168398437483637</v>
      </c>
      <c r="M134" s="19">
        <v>0</v>
      </c>
      <c r="N134" s="17">
        <v>9.0530326599233005E-2</v>
      </c>
      <c r="O134" s="19">
        <v>-5.6605399586260319E-3</v>
      </c>
      <c r="P134" s="17">
        <v>0</v>
      </c>
      <c r="Q134" s="19">
        <v>0</v>
      </c>
      <c r="R134" s="17">
        <v>0</v>
      </c>
      <c r="S134" s="19">
        <v>0</v>
      </c>
    </row>
    <row r="135" spans="1:19" x14ac:dyDescent="0.25">
      <c r="A135" s="3">
        <v>134</v>
      </c>
      <c r="B135" s="23">
        <v>158.26984780441873</v>
      </c>
      <c r="C135" s="18">
        <v>44791.60361111111</v>
      </c>
      <c r="D135" s="23">
        <v>3.0148243728317179</v>
      </c>
      <c r="E135" s="19">
        <v>27</v>
      </c>
      <c r="F135" s="17">
        <v>1</v>
      </c>
      <c r="G135" s="19">
        <v>-13.757305145263672</v>
      </c>
      <c r="H135" s="17">
        <v>0.36800622940063477</v>
      </c>
      <c r="I135" s="17">
        <f t="shared" si="2"/>
        <v>-2.2011688232421873</v>
      </c>
      <c r="J135" s="17">
        <f t="shared" si="3"/>
        <v>-0.81004383891558962</v>
      </c>
      <c r="K135" s="19">
        <v>0</v>
      </c>
      <c r="L135" s="17">
        <v>0.17223515224022401</v>
      </c>
      <c r="M135" s="19">
        <v>0</v>
      </c>
      <c r="N135" s="17">
        <v>9.1941578235124E-2</v>
      </c>
      <c r="O135" s="19">
        <v>6.1529877712018788E-5</v>
      </c>
      <c r="P135" s="17">
        <v>0</v>
      </c>
      <c r="Q135" s="19">
        <v>0</v>
      </c>
      <c r="R135" s="17">
        <v>0</v>
      </c>
      <c r="S135" s="19">
        <v>0</v>
      </c>
    </row>
    <row r="136" spans="1:19" x14ac:dyDescent="0.25">
      <c r="A136" s="3">
        <v>135</v>
      </c>
      <c r="B136" s="23">
        <v>159.27283455431399</v>
      </c>
      <c r="C136" s="18">
        <v>44791.603622685187</v>
      </c>
      <c r="D136" s="23">
        <v>4.0178111227269957</v>
      </c>
      <c r="E136" s="19">
        <v>27</v>
      </c>
      <c r="F136" s="17">
        <v>1</v>
      </c>
      <c r="G136" s="19">
        <v>-13.755429267883301</v>
      </c>
      <c r="H136" s="17">
        <v>0.36769858002662659</v>
      </c>
      <c r="I136" s="17">
        <f t="shared" si="2"/>
        <v>-2.2008686828613282</v>
      </c>
      <c r="J136" s="17">
        <f t="shared" si="3"/>
        <v>-0.80925628951318229</v>
      </c>
      <c r="K136" s="19">
        <v>0</v>
      </c>
      <c r="L136" s="17">
        <v>0.17606813359777099</v>
      </c>
      <c r="M136" s="19">
        <v>0</v>
      </c>
      <c r="N136" s="17">
        <v>9.3351338910646994E-2</v>
      </c>
      <c r="O136" s="19">
        <v>0</v>
      </c>
      <c r="P136" s="17">
        <v>0</v>
      </c>
      <c r="Q136" s="19">
        <v>0</v>
      </c>
      <c r="R136" s="17">
        <v>0</v>
      </c>
      <c r="S136" s="19">
        <v>0</v>
      </c>
    </row>
    <row r="137" spans="1:19" x14ac:dyDescent="0.25">
      <c r="A137" s="3">
        <v>136</v>
      </c>
      <c r="B137" s="23">
        <v>160.2660496593403</v>
      </c>
      <c r="C137" s="18">
        <v>44791.603634259256</v>
      </c>
      <c r="D137" s="23">
        <v>5.0110262277532929</v>
      </c>
      <c r="E137" s="19">
        <v>27</v>
      </c>
      <c r="F137" s="17">
        <v>1</v>
      </c>
      <c r="G137" s="19">
        <v>-13.76105785369873</v>
      </c>
      <c r="H137" s="17">
        <v>0.36769858002662659</v>
      </c>
      <c r="I137" s="17">
        <f t="shared" ref="I137:I168" si="4">G137/6.25</f>
        <v>-2.2017692565917968</v>
      </c>
      <c r="J137" s="17">
        <f t="shared" ref="J137:J168" si="5">H137*I137</f>
        <v>-0.80958742919508497</v>
      </c>
      <c r="K137" s="19">
        <v>0</v>
      </c>
      <c r="L137" s="17">
        <v>0.17986382297568601</v>
      </c>
      <c r="M137" s="19">
        <v>0</v>
      </c>
      <c r="N137" s="17">
        <v>9.4747139722568E-2</v>
      </c>
      <c r="O137" s="19">
        <v>-6.1529877712018788E-5</v>
      </c>
      <c r="P137" s="17">
        <v>0</v>
      </c>
      <c r="Q137" s="19">
        <v>0</v>
      </c>
      <c r="R137" s="17">
        <v>0</v>
      </c>
      <c r="S137" s="19">
        <v>0</v>
      </c>
    </row>
    <row r="138" spans="1:19" x14ac:dyDescent="0.25">
      <c r="A138" s="3">
        <v>137</v>
      </c>
      <c r="B138" s="23">
        <v>161.27386079065988</v>
      </c>
      <c r="C138" s="18">
        <v>44791.603645833333</v>
      </c>
      <c r="D138" s="23">
        <v>1.0046107314069259</v>
      </c>
      <c r="E138" s="19">
        <v>28</v>
      </c>
      <c r="F138" s="17">
        <v>1</v>
      </c>
      <c r="G138" s="19">
        <v>-15.008639335632324</v>
      </c>
      <c r="H138" s="17">
        <v>0.34031879901885986</v>
      </c>
      <c r="I138" s="17">
        <f t="shared" si="4"/>
        <v>-2.4013822937011717</v>
      </c>
      <c r="J138" s="17">
        <f t="shared" si="5"/>
        <v>-0.8172355381775378</v>
      </c>
      <c r="K138" s="19">
        <v>0</v>
      </c>
      <c r="L138" s="17">
        <v>0.18405192504398299</v>
      </c>
      <c r="M138" s="19">
        <v>0</v>
      </c>
      <c r="N138" s="17">
        <v>9.6172769590732995E-2</v>
      </c>
      <c r="O138" s="19">
        <v>-3.6916733370162547E-4</v>
      </c>
      <c r="P138" s="17">
        <v>0</v>
      </c>
      <c r="Q138" s="19">
        <v>0</v>
      </c>
      <c r="R138" s="17">
        <v>0</v>
      </c>
      <c r="S138" s="19">
        <v>0</v>
      </c>
    </row>
    <row r="139" spans="1:19" x14ac:dyDescent="0.25">
      <c r="A139" s="3">
        <v>138</v>
      </c>
      <c r="B139" s="23">
        <v>162.27783056234807</v>
      </c>
      <c r="C139" s="18">
        <v>44791.60365740741</v>
      </c>
      <c r="D139" s="23">
        <v>2.0085805027370922</v>
      </c>
      <c r="E139" s="19">
        <v>28</v>
      </c>
      <c r="F139" s="17">
        <v>1</v>
      </c>
      <c r="G139" s="19">
        <v>-15.006762504577637</v>
      </c>
      <c r="H139" s="17">
        <v>0.34001114964485168</v>
      </c>
      <c r="I139" s="17">
        <f t="shared" si="4"/>
        <v>-2.4010820007324218</v>
      </c>
      <c r="J139" s="17">
        <f t="shared" si="5"/>
        <v>-0.81639465146059131</v>
      </c>
      <c r="K139" s="19">
        <v>0</v>
      </c>
      <c r="L139" s="17">
        <v>0.188237448064762</v>
      </c>
      <c r="M139" s="19">
        <v>0</v>
      </c>
      <c r="N139" s="17">
        <v>9.7595943756768999E-2</v>
      </c>
      <c r="O139" s="19">
        <v>-4.3069719686172903E-4</v>
      </c>
      <c r="P139" s="17">
        <v>0</v>
      </c>
      <c r="Q139" s="19">
        <v>0</v>
      </c>
      <c r="R139" s="17">
        <v>0</v>
      </c>
      <c r="S139" s="19">
        <v>0</v>
      </c>
    </row>
    <row r="140" spans="1:19" x14ac:dyDescent="0.25">
      <c r="A140" s="3">
        <v>139</v>
      </c>
      <c r="B140" s="23">
        <v>163.28464979682147</v>
      </c>
      <c r="C140" s="18">
        <v>44791.603668981479</v>
      </c>
      <c r="D140" s="23">
        <v>3.015399737210493</v>
      </c>
      <c r="E140" s="19">
        <v>28</v>
      </c>
      <c r="F140" s="17">
        <v>1</v>
      </c>
      <c r="G140" s="19">
        <v>-15.006762504577637</v>
      </c>
      <c r="H140" s="17">
        <v>0.33970353007316589</v>
      </c>
      <c r="I140" s="17">
        <f t="shared" si="4"/>
        <v>-2.4010820007324218</v>
      </c>
      <c r="J140" s="17">
        <f t="shared" si="5"/>
        <v>-0.81565603164394362</v>
      </c>
      <c r="K140" s="19">
        <v>0</v>
      </c>
      <c r="L140" s="17">
        <v>0.192434722493631</v>
      </c>
      <c r="M140" s="19">
        <v>0</v>
      </c>
      <c r="N140" s="17">
        <v>9.9022712182783995E-2</v>
      </c>
      <c r="O140" s="19">
        <v>-1.2305378913879395E-4</v>
      </c>
      <c r="P140" s="17">
        <v>0</v>
      </c>
      <c r="Q140" s="19">
        <v>0</v>
      </c>
      <c r="R140" s="17">
        <v>0</v>
      </c>
      <c r="S140" s="19">
        <v>0</v>
      </c>
    </row>
    <row r="141" spans="1:19" x14ac:dyDescent="0.25">
      <c r="A141" s="3">
        <v>140</v>
      </c>
      <c r="B141" s="23">
        <v>164.28761761513152</v>
      </c>
      <c r="C141" s="18">
        <v>44791.603680555549</v>
      </c>
      <c r="D141" s="23">
        <v>4.018367555878573</v>
      </c>
      <c r="E141" s="19">
        <v>28</v>
      </c>
      <c r="F141" s="17">
        <v>1</v>
      </c>
      <c r="G141" s="19">
        <v>-15.010515213012695</v>
      </c>
      <c r="H141" s="17">
        <v>0.34001114964485168</v>
      </c>
      <c r="I141" s="17">
        <f t="shared" si="4"/>
        <v>-2.4016824340820313</v>
      </c>
      <c r="J141" s="17">
        <f t="shared" si="5"/>
        <v>-0.81659880549407715</v>
      </c>
      <c r="K141" s="19">
        <v>0</v>
      </c>
      <c r="L141" s="17">
        <v>0.19661608029996699</v>
      </c>
      <c r="M141" s="19">
        <v>0</v>
      </c>
      <c r="N141" s="17">
        <v>0.100443788073766</v>
      </c>
      <c r="O141" s="19">
        <v>0</v>
      </c>
      <c r="P141" s="17">
        <v>0</v>
      </c>
      <c r="Q141" s="19">
        <v>0</v>
      </c>
      <c r="R141" s="17">
        <v>0</v>
      </c>
      <c r="S141" s="19">
        <v>0</v>
      </c>
    </row>
    <row r="142" spans="1:19" x14ac:dyDescent="0.25">
      <c r="A142" s="3">
        <v>141</v>
      </c>
      <c r="B142" s="23">
        <v>165.27402672862866</v>
      </c>
      <c r="C142" s="18">
        <v>44791.603692129633</v>
      </c>
      <c r="D142" s="23">
        <v>5.0047766693757136</v>
      </c>
      <c r="E142" s="19">
        <v>28</v>
      </c>
      <c r="F142" s="17">
        <v>1</v>
      </c>
      <c r="G142" s="19">
        <v>-15.006762504577637</v>
      </c>
      <c r="H142" s="17">
        <v>0.34001114964485168</v>
      </c>
      <c r="I142" s="17">
        <f t="shared" si="4"/>
        <v>-2.4010820007324218</v>
      </c>
      <c r="J142" s="17">
        <f t="shared" si="5"/>
        <v>-0.81639465146059131</v>
      </c>
      <c r="K142" s="19">
        <v>0</v>
      </c>
      <c r="L142" s="17">
        <v>0.20072841111054901</v>
      </c>
      <c r="M142" s="19">
        <v>0</v>
      </c>
      <c r="N142" s="17">
        <v>0.10184110335679</v>
      </c>
      <c r="O142" s="19">
        <v>6.1523911426775157E-5</v>
      </c>
      <c r="P142" s="17">
        <v>0</v>
      </c>
      <c r="Q142" s="19">
        <v>0</v>
      </c>
      <c r="R142" s="17">
        <v>0</v>
      </c>
      <c r="S142" s="19">
        <v>0</v>
      </c>
    </row>
    <row r="143" spans="1:19" x14ac:dyDescent="0.25">
      <c r="A143" s="3">
        <v>142</v>
      </c>
      <c r="B143" s="23">
        <v>166.27794324283684</v>
      </c>
      <c r="C143" s="18">
        <v>44791.603703703702</v>
      </c>
      <c r="D143" s="23">
        <v>1.0009877197818919</v>
      </c>
      <c r="E143" s="19">
        <v>29</v>
      </c>
      <c r="F143" s="17">
        <v>1</v>
      </c>
      <c r="G143" s="19">
        <v>-16.254344940185547</v>
      </c>
      <c r="H143" s="17">
        <v>0.31293901801109314</v>
      </c>
      <c r="I143" s="17">
        <f t="shared" si="4"/>
        <v>-2.6006951904296876</v>
      </c>
      <c r="J143" s="17">
        <f t="shared" si="5"/>
        <v>-0.81385899903923931</v>
      </c>
      <c r="K143" s="19">
        <v>0</v>
      </c>
      <c r="L143" s="17">
        <v>0.205249320422525</v>
      </c>
      <c r="M143" s="19">
        <v>0</v>
      </c>
      <c r="N143" s="17">
        <v>0.10325622608851499</v>
      </c>
      <c r="O143" s="19">
        <v>-6.1523911426775157E-5</v>
      </c>
      <c r="P143" s="17">
        <v>0</v>
      </c>
      <c r="Q143" s="19">
        <v>0</v>
      </c>
      <c r="R143" s="17">
        <v>0</v>
      </c>
      <c r="S143" s="19">
        <v>0</v>
      </c>
    </row>
    <row r="144" spans="1:19" x14ac:dyDescent="0.25">
      <c r="A144" s="3">
        <v>143</v>
      </c>
      <c r="B144" s="23">
        <v>167.28188905306271</v>
      </c>
      <c r="C144" s="18">
        <v>44791.603715277779</v>
      </c>
      <c r="D144" s="23">
        <v>2.0049335296497448</v>
      </c>
      <c r="E144" s="19">
        <v>29</v>
      </c>
      <c r="F144" s="17">
        <v>1</v>
      </c>
      <c r="G144" s="19">
        <v>-16.258096694946289</v>
      </c>
      <c r="H144" s="17">
        <v>0.31263136863708496</v>
      </c>
      <c r="I144" s="17">
        <f t="shared" si="4"/>
        <v>-2.6012954711914063</v>
      </c>
      <c r="J144" s="17">
        <f t="shared" si="5"/>
        <v>-0.81324656338802015</v>
      </c>
      <c r="K144" s="19">
        <v>0</v>
      </c>
      <c r="L144" s="17">
        <v>0.209783663781171</v>
      </c>
      <c r="M144" s="19">
        <v>0</v>
      </c>
      <c r="N144" s="17">
        <v>0.10467405337893899</v>
      </c>
      <c r="O144" s="19">
        <v>-1.2305378913879395E-4</v>
      </c>
      <c r="P144" s="17">
        <v>0</v>
      </c>
      <c r="Q144" s="19">
        <v>0</v>
      </c>
      <c r="R144" s="17">
        <v>0</v>
      </c>
      <c r="S144" s="19">
        <v>0</v>
      </c>
    </row>
    <row r="145" spans="1:19" x14ac:dyDescent="0.25">
      <c r="A145" s="3">
        <v>144</v>
      </c>
      <c r="B145" s="23">
        <v>168.28385633934931</v>
      </c>
      <c r="C145" s="18">
        <v>44791.603726851848</v>
      </c>
      <c r="D145" s="23">
        <v>3.006900827393121</v>
      </c>
      <c r="E145" s="19">
        <v>29</v>
      </c>
      <c r="F145" s="17">
        <v>1</v>
      </c>
      <c r="G145" s="19">
        <v>-16.261848449707031</v>
      </c>
      <c r="H145" s="17">
        <v>0.31232371926307678</v>
      </c>
      <c r="I145" s="17">
        <f t="shared" si="4"/>
        <v>-2.6018957519531249</v>
      </c>
      <c r="J145" s="17">
        <f t="shared" si="5"/>
        <v>-0.8126337583847999</v>
      </c>
      <c r="K145" s="19">
        <v>0</v>
      </c>
      <c r="L145" s="17">
        <v>0.21430902093085</v>
      </c>
      <c r="M145" s="19">
        <v>0</v>
      </c>
      <c r="N145" s="17">
        <v>0.106088505913462</v>
      </c>
      <c r="O145" s="19">
        <v>-1.2305975542403758E-4</v>
      </c>
      <c r="P145" s="17">
        <v>0</v>
      </c>
      <c r="Q145" s="19">
        <v>0</v>
      </c>
      <c r="R145" s="17">
        <v>0</v>
      </c>
      <c r="S145" s="19">
        <v>0</v>
      </c>
    </row>
    <row r="146" spans="1:19" x14ac:dyDescent="0.25">
      <c r="A146" s="3">
        <v>145</v>
      </c>
      <c r="B146" s="23">
        <v>169.2878494821185</v>
      </c>
      <c r="C146" s="18">
        <v>44791.603738425925</v>
      </c>
      <c r="D146" s="23">
        <v>4.0108942297295842</v>
      </c>
      <c r="E146" s="19">
        <v>29</v>
      </c>
      <c r="F146" s="17">
        <v>1</v>
      </c>
      <c r="G146" s="19">
        <v>-16.261848449707031</v>
      </c>
      <c r="H146" s="17">
        <v>0.31232371926307678</v>
      </c>
      <c r="I146" s="17">
        <f t="shared" si="4"/>
        <v>-2.6018957519531249</v>
      </c>
      <c r="J146" s="17">
        <f t="shared" si="5"/>
        <v>-0.8126337583847999</v>
      </c>
      <c r="K146" s="19">
        <v>0</v>
      </c>
      <c r="L146" s="17">
        <v>0.218843543846481</v>
      </c>
      <c r="M146" s="19">
        <v>0</v>
      </c>
      <c r="N146" s="17">
        <v>0.107505356060605</v>
      </c>
      <c r="O146" s="19">
        <v>-6.1529877712018788E-5</v>
      </c>
      <c r="P146" s="17">
        <v>0</v>
      </c>
      <c r="Q146" s="19">
        <v>0</v>
      </c>
      <c r="R146" s="17">
        <v>0</v>
      </c>
      <c r="S146" s="19">
        <v>0</v>
      </c>
    </row>
    <row r="147" spans="1:19" x14ac:dyDescent="0.25">
      <c r="A147" s="3">
        <v>146</v>
      </c>
      <c r="B147" s="23">
        <v>170.27710517165454</v>
      </c>
      <c r="C147" s="18">
        <v>44791.603750000002</v>
      </c>
      <c r="D147" s="23">
        <v>5.0001496482415657</v>
      </c>
      <c r="E147" s="19">
        <v>29</v>
      </c>
      <c r="F147" s="17">
        <v>1</v>
      </c>
      <c r="G147" s="19">
        <v>-16.259971618652344</v>
      </c>
      <c r="H147" s="17">
        <v>0.31232371926307678</v>
      </c>
      <c r="I147" s="17">
        <f t="shared" si="4"/>
        <v>-2.6015954589843751</v>
      </c>
      <c r="J147" s="17">
        <f t="shared" si="5"/>
        <v>-0.8125399697679313</v>
      </c>
      <c r="K147" s="19">
        <v>0</v>
      </c>
      <c r="L147" s="17">
        <v>0.22331147353698799</v>
      </c>
      <c r="M147" s="19">
        <v>0</v>
      </c>
      <c r="N147" s="17">
        <v>0.108901504055037</v>
      </c>
      <c r="O147" s="19">
        <v>-6.1529877712018788E-5</v>
      </c>
      <c r="P147" s="17">
        <v>0</v>
      </c>
      <c r="Q147" s="19">
        <v>0</v>
      </c>
      <c r="R147" s="17">
        <v>0</v>
      </c>
      <c r="S147" s="19">
        <v>0</v>
      </c>
    </row>
    <row r="148" spans="1:19" x14ac:dyDescent="0.25">
      <c r="A148" s="3">
        <v>147</v>
      </c>
      <c r="B148" s="23">
        <v>171.28010817654874</v>
      </c>
      <c r="C148" s="18">
        <v>44791.603761574072</v>
      </c>
      <c r="D148" s="23">
        <v>1.0001608425733319</v>
      </c>
      <c r="E148" s="19">
        <v>30</v>
      </c>
      <c r="F148" s="17">
        <v>1</v>
      </c>
      <c r="G148" s="19">
        <v>-17.509429931640625</v>
      </c>
      <c r="H148" s="17">
        <v>0.28555920720100403</v>
      </c>
      <c r="I148" s="17">
        <f t="shared" si="4"/>
        <v>-2.8015087890624999</v>
      </c>
      <c r="J148" s="17">
        <f t="shared" si="5"/>
        <v>-0.79999662877133226</v>
      </c>
      <c r="K148" s="19">
        <v>0</v>
      </c>
      <c r="L148" s="17">
        <v>0.22818866633981399</v>
      </c>
      <c r="M148" s="19">
        <v>0</v>
      </c>
      <c r="N148" s="17">
        <v>0.110295826587955</v>
      </c>
      <c r="O148" s="19">
        <v>-3.0763744143769145E-4</v>
      </c>
      <c r="P148" s="17">
        <v>0</v>
      </c>
      <c r="Q148" s="19">
        <v>0</v>
      </c>
      <c r="R148" s="17">
        <v>0</v>
      </c>
      <c r="S148" s="19">
        <v>0</v>
      </c>
    </row>
    <row r="149" spans="1:19" x14ac:dyDescent="0.25">
      <c r="A149" s="3">
        <v>148</v>
      </c>
      <c r="B149" s="23">
        <v>172.2840500807344</v>
      </c>
      <c r="C149" s="18">
        <v>44791.603773148141</v>
      </c>
      <c r="D149" s="23">
        <v>2.004102750697252</v>
      </c>
      <c r="E149" s="19">
        <v>30</v>
      </c>
      <c r="F149" s="17">
        <v>1</v>
      </c>
      <c r="G149" s="19">
        <v>-17.509429931640625</v>
      </c>
      <c r="H149" s="17">
        <v>0.28525158762931824</v>
      </c>
      <c r="I149" s="17">
        <f t="shared" si="4"/>
        <v>-2.8015087890624999</v>
      </c>
      <c r="J149" s="17">
        <f t="shared" si="5"/>
        <v>-0.7991348298375669</v>
      </c>
      <c r="K149" s="19">
        <v>0</v>
      </c>
      <c r="L149" s="17">
        <v>0.233071332371493</v>
      </c>
      <c r="M149" s="19">
        <v>0</v>
      </c>
      <c r="N149" s="17">
        <v>0.111689751820974</v>
      </c>
      <c r="O149" s="19">
        <v>-3.6916136741638184E-4</v>
      </c>
      <c r="P149" s="17">
        <v>0</v>
      </c>
      <c r="Q149" s="19">
        <v>0</v>
      </c>
      <c r="R149" s="17">
        <v>0</v>
      </c>
      <c r="S149" s="19">
        <v>0</v>
      </c>
    </row>
    <row r="150" spans="1:19" x14ac:dyDescent="0.25">
      <c r="A150" s="3">
        <v>149</v>
      </c>
      <c r="B150" s="23">
        <v>173.29189071858968</v>
      </c>
      <c r="C150" s="18">
        <v>44791.603784722225</v>
      </c>
      <c r="D150" s="23">
        <v>3.0119434673177929</v>
      </c>
      <c r="E150" s="19">
        <v>30</v>
      </c>
      <c r="F150" s="17">
        <v>1</v>
      </c>
      <c r="G150" s="19">
        <v>-17.507553100585938</v>
      </c>
      <c r="H150" s="17">
        <v>0.28525158762931824</v>
      </c>
      <c r="I150" s="17">
        <f t="shared" si="4"/>
        <v>-2.80120849609375</v>
      </c>
      <c r="J150" s="17">
        <f t="shared" si="5"/>
        <v>-0.79904917079147708</v>
      </c>
      <c r="K150" s="19">
        <v>0</v>
      </c>
      <c r="L150" s="17">
        <v>0.23797310424446</v>
      </c>
      <c r="M150" s="19">
        <v>0</v>
      </c>
      <c r="N150" s="17">
        <v>0.113088202676669</v>
      </c>
      <c r="O150" s="19">
        <v>0</v>
      </c>
      <c r="P150" s="17">
        <v>0</v>
      </c>
      <c r="Q150" s="19">
        <v>0</v>
      </c>
      <c r="R150" s="17">
        <v>0</v>
      </c>
      <c r="S150" s="19">
        <v>0</v>
      </c>
    </row>
    <row r="151" spans="1:19" x14ac:dyDescent="0.25">
      <c r="A151" s="3">
        <v>150</v>
      </c>
      <c r="B151" s="23">
        <v>174.30165423202092</v>
      </c>
      <c r="C151" s="18">
        <v>44791.603796296295</v>
      </c>
      <c r="D151" s="23">
        <v>4.0217068980455482</v>
      </c>
      <c r="E151" s="19">
        <v>30</v>
      </c>
      <c r="F151" s="17">
        <v>1</v>
      </c>
      <c r="G151" s="19">
        <v>-17.509429931640625</v>
      </c>
      <c r="H151" s="17">
        <v>0.28555920720100403</v>
      </c>
      <c r="I151" s="17">
        <f t="shared" si="4"/>
        <v>-2.8015087890624999</v>
      </c>
      <c r="J151" s="17">
        <f t="shared" si="5"/>
        <v>-0.79999662877133226</v>
      </c>
      <c r="K151" s="19">
        <v>0</v>
      </c>
      <c r="L151" s="17">
        <v>0.24288422800300699</v>
      </c>
      <c r="M151" s="19">
        <v>0</v>
      </c>
      <c r="N151" s="17">
        <v>0.11448890390800801</v>
      </c>
      <c r="O151" s="19">
        <v>6.1523911426775157E-5</v>
      </c>
      <c r="P151" s="17">
        <v>0</v>
      </c>
      <c r="Q151" s="19">
        <v>0</v>
      </c>
      <c r="R151" s="17">
        <v>0</v>
      </c>
      <c r="S151" s="19">
        <v>0</v>
      </c>
    </row>
    <row r="152" spans="1:19" x14ac:dyDescent="0.25">
      <c r="A152" s="3">
        <v>151</v>
      </c>
      <c r="B152" s="23">
        <v>175.29485901378749</v>
      </c>
      <c r="C152" s="18">
        <v>44791.603807870371</v>
      </c>
      <c r="D152" s="23">
        <v>5.0149116798121094</v>
      </c>
      <c r="E152" s="19">
        <v>30</v>
      </c>
      <c r="F152" s="17">
        <v>1</v>
      </c>
      <c r="G152" s="19">
        <v>-17.505678176879883</v>
      </c>
      <c r="H152" s="17">
        <v>0.28525158762931824</v>
      </c>
      <c r="I152" s="17">
        <f t="shared" si="4"/>
        <v>-2.8009085083007812</v>
      </c>
      <c r="J152" s="17">
        <f t="shared" si="5"/>
        <v>-0.79896359879726331</v>
      </c>
      <c r="K152" s="19">
        <v>0</v>
      </c>
      <c r="L152" s="17">
        <v>0.247714719396916</v>
      </c>
      <c r="M152" s="19">
        <v>0</v>
      </c>
      <c r="N152" s="17">
        <v>0.115866252533006</v>
      </c>
      <c r="O152" s="19">
        <v>0</v>
      </c>
      <c r="P152" s="17">
        <v>0</v>
      </c>
      <c r="Q152" s="19">
        <v>0</v>
      </c>
      <c r="R152" s="17">
        <v>0</v>
      </c>
      <c r="S152" s="19">
        <v>0</v>
      </c>
    </row>
    <row r="153" spans="1:19" x14ac:dyDescent="0.25">
      <c r="A153" s="3">
        <v>152</v>
      </c>
      <c r="B153" s="23">
        <v>176.30169754073415</v>
      </c>
      <c r="C153" s="18">
        <v>44791.603819444441</v>
      </c>
      <c r="D153" s="23">
        <v>1.0036614526459751</v>
      </c>
      <c r="E153" s="19">
        <v>31</v>
      </c>
      <c r="F153" s="17">
        <v>1</v>
      </c>
      <c r="G153" s="19">
        <v>-18.758886337280273</v>
      </c>
      <c r="H153" s="17">
        <v>0.2581794261932373</v>
      </c>
      <c r="I153" s="17">
        <f t="shared" si="4"/>
        <v>-3.0014218139648436</v>
      </c>
      <c r="J153" s="17">
        <f t="shared" si="5"/>
        <v>-0.77490536169330881</v>
      </c>
      <c r="K153" s="19">
        <v>0</v>
      </c>
      <c r="L153" s="17">
        <v>0.25294864080443802</v>
      </c>
      <c r="M153" s="19">
        <v>0</v>
      </c>
      <c r="N153" s="17">
        <v>0.117224678677571</v>
      </c>
      <c r="O153" s="19">
        <v>-5.414432380348444E-3</v>
      </c>
      <c r="P153" s="17">
        <v>0</v>
      </c>
      <c r="Q153" s="19">
        <v>0</v>
      </c>
      <c r="R153" s="17">
        <v>0</v>
      </c>
      <c r="S153" s="19">
        <v>0</v>
      </c>
    </row>
    <row r="154" spans="1:19" x14ac:dyDescent="0.25">
      <c r="A154" s="3">
        <v>153</v>
      </c>
      <c r="B154" s="23">
        <v>177.30285297571524</v>
      </c>
      <c r="C154" s="18">
        <v>44791.603831018518</v>
      </c>
      <c r="D154" s="23">
        <v>2.004816887627054</v>
      </c>
      <c r="E154" s="19">
        <v>31</v>
      </c>
      <c r="F154" s="17">
        <v>1</v>
      </c>
      <c r="G154" s="19">
        <v>-18.760763168334961</v>
      </c>
      <c r="H154" s="17">
        <v>0.2581794261932373</v>
      </c>
      <c r="I154" s="17">
        <f t="shared" si="4"/>
        <v>-3.0017221069335935</v>
      </c>
      <c r="J154" s="17">
        <f t="shared" si="5"/>
        <v>-0.77498289115967045</v>
      </c>
      <c r="K154" s="19">
        <v>0</v>
      </c>
      <c r="L154" s="17">
        <v>0.25816544355066801</v>
      </c>
      <c r="M154" s="19">
        <v>0</v>
      </c>
      <c r="N154" s="17">
        <v>0.11857187445107301</v>
      </c>
      <c r="O154" s="19">
        <v>-5.414432380348444E-3</v>
      </c>
      <c r="P154" s="17">
        <v>0</v>
      </c>
      <c r="Q154" s="19">
        <v>0</v>
      </c>
      <c r="R154" s="17">
        <v>0</v>
      </c>
      <c r="S154" s="19">
        <v>0</v>
      </c>
    </row>
    <row r="155" spans="1:19" x14ac:dyDescent="0.25">
      <c r="A155" s="3">
        <v>154</v>
      </c>
      <c r="B155" s="23">
        <v>178.31057922709812</v>
      </c>
      <c r="C155" s="18">
        <v>44791.603842592594</v>
      </c>
      <c r="D155" s="23">
        <v>3.01254313900992</v>
      </c>
      <c r="E155" s="19">
        <v>31</v>
      </c>
      <c r="F155" s="17">
        <v>1</v>
      </c>
      <c r="G155" s="19">
        <v>-18.758886337280273</v>
      </c>
      <c r="H155" s="17">
        <v>0.25787177681922913</v>
      </c>
      <c r="I155" s="17">
        <f t="shared" si="4"/>
        <v>-3.0014218139648436</v>
      </c>
      <c r="J155" s="17">
        <f t="shared" si="5"/>
        <v>-0.77398197615110798</v>
      </c>
      <c r="K155" s="19">
        <v>0</v>
      </c>
      <c r="L155" s="17">
        <v>0.26341641170066399</v>
      </c>
      <c r="M155" s="19">
        <v>0</v>
      </c>
      <c r="N155" s="17">
        <v>0.119927477627517</v>
      </c>
      <c r="O155" s="19">
        <v>-1.2305975542403758E-4</v>
      </c>
      <c r="P155" s="17">
        <v>0</v>
      </c>
      <c r="Q155" s="19">
        <v>0</v>
      </c>
      <c r="R155" s="17">
        <v>0</v>
      </c>
      <c r="S155" s="19">
        <v>0</v>
      </c>
    </row>
    <row r="156" spans="1:19" x14ac:dyDescent="0.25">
      <c r="A156" s="3">
        <v>155</v>
      </c>
      <c r="B156" s="23">
        <v>179.3164768551901</v>
      </c>
      <c r="C156" s="18">
        <v>44791.603854166664</v>
      </c>
      <c r="D156" s="23">
        <v>4.018440770682143</v>
      </c>
      <c r="E156" s="19">
        <v>31</v>
      </c>
      <c r="F156" s="17">
        <v>1</v>
      </c>
      <c r="G156" s="19">
        <v>-18.757011413574219</v>
      </c>
      <c r="H156" s="17">
        <v>0.2581794261932373</v>
      </c>
      <c r="I156" s="17">
        <f t="shared" si="4"/>
        <v>-3.0011218261718748</v>
      </c>
      <c r="J156" s="17">
        <f t="shared" si="5"/>
        <v>-0.77482791101705517</v>
      </c>
      <c r="K156" s="19">
        <v>0</v>
      </c>
      <c r="L156" s="17">
        <v>0.26865793347721101</v>
      </c>
      <c r="M156" s="19">
        <v>0</v>
      </c>
      <c r="N156" s="17">
        <v>0.12127998643499401</v>
      </c>
      <c r="O156" s="19">
        <v>0</v>
      </c>
      <c r="P156" s="17">
        <v>0</v>
      </c>
      <c r="Q156" s="19">
        <v>0</v>
      </c>
      <c r="R156" s="17">
        <v>0</v>
      </c>
      <c r="S156" s="19">
        <v>0</v>
      </c>
    </row>
    <row r="157" spans="1:19" x14ac:dyDescent="0.25">
      <c r="A157" s="3">
        <v>156</v>
      </c>
      <c r="B157" s="23">
        <v>180.30380836844947</v>
      </c>
      <c r="C157" s="18">
        <v>44791.603865740741</v>
      </c>
      <c r="D157" s="23">
        <v>5.0057722803613176</v>
      </c>
      <c r="E157" s="19">
        <v>31</v>
      </c>
      <c r="F157" s="17">
        <v>1</v>
      </c>
      <c r="G157" s="19">
        <v>-18.758886337280273</v>
      </c>
      <c r="H157" s="17">
        <v>0.25787177681922913</v>
      </c>
      <c r="I157" s="17">
        <f t="shared" si="4"/>
        <v>-3.0014218139648436</v>
      </c>
      <c r="J157" s="17">
        <f t="shared" si="5"/>
        <v>-0.77398197615110798</v>
      </c>
      <c r="K157" s="19">
        <v>0</v>
      </c>
      <c r="L157" s="17">
        <v>0.27380275940701698</v>
      </c>
      <c r="M157" s="19">
        <v>0</v>
      </c>
      <c r="N157" s="17">
        <v>0.12260690560649801</v>
      </c>
      <c r="O157" s="19">
        <v>0</v>
      </c>
      <c r="P157" s="17">
        <v>0</v>
      </c>
      <c r="Q157" s="19">
        <v>0</v>
      </c>
      <c r="R157" s="17">
        <v>0</v>
      </c>
      <c r="S157" s="19">
        <v>0</v>
      </c>
    </row>
    <row r="158" spans="1:19" x14ac:dyDescent="0.25">
      <c r="A158" s="3">
        <v>157</v>
      </c>
      <c r="B158" s="23">
        <v>181.31263526821357</v>
      </c>
      <c r="C158" s="18">
        <v>44791.603877314818</v>
      </c>
      <c r="D158" s="23">
        <v>1.005632999058397</v>
      </c>
      <c r="E158" s="19">
        <v>32</v>
      </c>
      <c r="F158" s="17">
        <v>1</v>
      </c>
      <c r="G158" s="19">
        <v>-20.012096405029297</v>
      </c>
      <c r="H158" s="17">
        <v>0.23141489923000336</v>
      </c>
      <c r="I158" s="17">
        <f t="shared" si="4"/>
        <v>-3.2019354248046876</v>
      </c>
      <c r="J158" s="17">
        <f t="shared" si="5"/>
        <v>-0.74097556367215478</v>
      </c>
      <c r="K158" s="19">
        <v>0</v>
      </c>
      <c r="L158" s="17">
        <v>0.27940007157442498</v>
      </c>
      <c r="M158" s="19">
        <v>0</v>
      </c>
      <c r="N158" s="17">
        <v>0.123907027402012</v>
      </c>
      <c r="O158" s="19">
        <v>-5.2913753315806389E-3</v>
      </c>
      <c r="P158" s="17">
        <v>0</v>
      </c>
      <c r="Q158" s="19">
        <v>0</v>
      </c>
      <c r="R158" s="17">
        <v>0</v>
      </c>
      <c r="S158" s="19">
        <v>0</v>
      </c>
    </row>
    <row r="159" spans="1:19" x14ac:dyDescent="0.25">
      <c r="A159" s="3">
        <v>158</v>
      </c>
      <c r="B159" s="23">
        <v>182.31555103594201</v>
      </c>
      <c r="C159" s="18">
        <v>44791.603888888887</v>
      </c>
      <c r="D159" s="23">
        <v>2.0085487632066048</v>
      </c>
      <c r="E159" s="19">
        <v>32</v>
      </c>
      <c r="F159" s="17">
        <v>1</v>
      </c>
      <c r="G159" s="19">
        <v>-20.008344650268555</v>
      </c>
      <c r="H159" s="17">
        <v>0.23141489923000336</v>
      </c>
      <c r="I159" s="17">
        <f t="shared" si="4"/>
        <v>-3.2013351440429689</v>
      </c>
      <c r="J159" s="17">
        <f t="shared" si="5"/>
        <v>-0.74083664976017194</v>
      </c>
      <c r="K159" s="19">
        <v>0</v>
      </c>
      <c r="L159" s="17">
        <v>0.28497461565912502</v>
      </c>
      <c r="M159" s="19">
        <v>0</v>
      </c>
      <c r="N159" s="17">
        <v>0.12519572095509701</v>
      </c>
      <c r="O159" s="19">
        <v>-5.2913753315806389E-3</v>
      </c>
      <c r="P159" s="17">
        <v>0</v>
      </c>
      <c r="Q159" s="19">
        <v>0</v>
      </c>
      <c r="R159" s="17">
        <v>0</v>
      </c>
      <c r="S159" s="19">
        <v>0</v>
      </c>
    </row>
    <row r="160" spans="1:19" x14ac:dyDescent="0.25">
      <c r="A160" s="3">
        <v>159</v>
      </c>
      <c r="B160" s="23">
        <v>183.32054971447599</v>
      </c>
      <c r="C160" s="18">
        <v>44791.603900462957</v>
      </c>
      <c r="D160" s="23">
        <v>3.0135474453208069</v>
      </c>
      <c r="E160" s="19">
        <v>32</v>
      </c>
      <c r="F160" s="17">
        <v>1</v>
      </c>
      <c r="G160" s="19">
        <v>-20.010221481323242</v>
      </c>
      <c r="H160" s="17">
        <v>0.23110726475715637</v>
      </c>
      <c r="I160" s="17">
        <f t="shared" si="4"/>
        <v>-3.2016354370117188</v>
      </c>
      <c r="J160" s="17">
        <f t="shared" si="5"/>
        <v>-0.73992120859736132</v>
      </c>
      <c r="K160" s="19">
        <v>0</v>
      </c>
      <c r="L160" s="17">
        <v>0.29056074964406498</v>
      </c>
      <c r="M160" s="19">
        <v>0</v>
      </c>
      <c r="N160" s="17">
        <v>0.12648590093550699</v>
      </c>
      <c r="O160" s="19">
        <v>-6.1526894569396973E-5</v>
      </c>
      <c r="P160" s="17">
        <v>0</v>
      </c>
      <c r="Q160" s="19">
        <v>0</v>
      </c>
      <c r="R160" s="17">
        <v>0</v>
      </c>
      <c r="S160" s="19">
        <v>0</v>
      </c>
    </row>
    <row r="161" spans="1:19" x14ac:dyDescent="0.25">
      <c r="A161" s="3">
        <v>160</v>
      </c>
      <c r="B161" s="23">
        <v>184.32740457160656</v>
      </c>
      <c r="C161" s="18">
        <v>44791.603912037041</v>
      </c>
      <c r="D161" s="23">
        <v>4.0204023024513891</v>
      </c>
      <c r="E161" s="19">
        <v>32</v>
      </c>
      <c r="F161" s="17">
        <v>1</v>
      </c>
      <c r="G161" s="19">
        <v>-20.012096405029297</v>
      </c>
      <c r="H161" s="17">
        <v>0.23079963028430939</v>
      </c>
      <c r="I161" s="17">
        <f t="shared" si="4"/>
        <v>-3.2019354248046876</v>
      </c>
      <c r="J161" s="17">
        <f t="shared" si="5"/>
        <v>-0.739005512239155</v>
      </c>
      <c r="K161" s="19">
        <v>0</v>
      </c>
      <c r="L161" s="17">
        <v>0.29615730008739499</v>
      </c>
      <c r="M161" s="19">
        <v>0</v>
      </c>
      <c r="N161" s="17">
        <v>0.12777772992775999</v>
      </c>
      <c r="O161" s="19">
        <v>0</v>
      </c>
      <c r="P161" s="17">
        <v>0</v>
      </c>
      <c r="Q161" s="19">
        <v>0</v>
      </c>
      <c r="R161" s="17">
        <v>0</v>
      </c>
      <c r="S161" s="19">
        <v>0</v>
      </c>
    </row>
    <row r="162" spans="1:19" x14ac:dyDescent="0.25">
      <c r="A162" s="3">
        <v>161</v>
      </c>
      <c r="B162" s="23">
        <v>185.3215943335565</v>
      </c>
      <c r="C162" s="18">
        <v>44791.60392361111</v>
      </c>
      <c r="D162" s="23">
        <v>5.0145920608210917</v>
      </c>
      <c r="E162" s="19">
        <v>32</v>
      </c>
      <c r="F162" s="17">
        <v>1</v>
      </c>
      <c r="G162" s="19">
        <v>-20.010221481323242</v>
      </c>
      <c r="H162" s="17">
        <v>0.23049198091030121</v>
      </c>
      <c r="I162" s="17">
        <f t="shared" si="4"/>
        <v>-3.2016354370117188</v>
      </c>
      <c r="J162" s="17">
        <f t="shared" si="5"/>
        <v>-0.73795129402944892</v>
      </c>
      <c r="K162" s="19">
        <v>0</v>
      </c>
      <c r="L162" s="17">
        <v>0.30168346012826702</v>
      </c>
      <c r="M162" s="19">
        <v>0</v>
      </c>
      <c r="N162" s="17">
        <v>0.12905264056614099</v>
      </c>
      <c r="O162" s="19">
        <v>-1.2305677228141576E-4</v>
      </c>
      <c r="P162" s="17">
        <v>0</v>
      </c>
      <c r="Q162" s="19">
        <v>0</v>
      </c>
      <c r="R162" s="17">
        <v>0</v>
      </c>
      <c r="S162" s="19">
        <v>0</v>
      </c>
    </row>
    <row r="163" spans="1:19" x14ac:dyDescent="0.25">
      <c r="A163" s="3">
        <v>162</v>
      </c>
      <c r="B163" s="23">
        <v>186.32551644510957</v>
      </c>
      <c r="C163" s="18">
        <v>44791.603935185187</v>
      </c>
      <c r="D163" s="23">
        <v>1.0007258994454209</v>
      </c>
      <c r="E163" s="19">
        <v>33</v>
      </c>
      <c r="F163" s="17">
        <v>1</v>
      </c>
      <c r="G163" s="19">
        <v>-21.259677886962891</v>
      </c>
      <c r="H163" s="17">
        <v>0.20403511822223663</v>
      </c>
      <c r="I163" s="17">
        <f t="shared" si="4"/>
        <v>-3.4015484619140626</v>
      </c>
      <c r="J163" s="17">
        <f t="shared" si="5"/>
        <v>-0.69403534256530297</v>
      </c>
      <c r="K163" s="19">
        <v>0</v>
      </c>
      <c r="L163" s="17">
        <v>0.30759963077740099</v>
      </c>
      <c r="M163" s="19">
        <v>0</v>
      </c>
      <c r="N163" s="17">
        <v>0.130266898387534</v>
      </c>
      <c r="O163" s="19">
        <v>-5.291372537612915E-3</v>
      </c>
      <c r="P163" s="17">
        <v>0</v>
      </c>
      <c r="Q163" s="19">
        <v>0</v>
      </c>
      <c r="R163" s="17">
        <v>0</v>
      </c>
      <c r="S163" s="19">
        <v>0</v>
      </c>
    </row>
    <row r="164" spans="1:19" x14ac:dyDescent="0.25">
      <c r="A164" s="3">
        <v>163</v>
      </c>
      <c r="B164" s="23">
        <v>187.32752435027621</v>
      </c>
      <c r="C164" s="18">
        <v>44791.603946759256</v>
      </c>
      <c r="D164" s="23">
        <v>2.0027338046120629</v>
      </c>
      <c r="E164" s="19">
        <v>33</v>
      </c>
      <c r="F164" s="17">
        <v>1</v>
      </c>
      <c r="G164" s="19">
        <v>-21.255926132202148</v>
      </c>
      <c r="H164" s="17">
        <v>0.20434275269508362</v>
      </c>
      <c r="I164" s="17">
        <f t="shared" si="4"/>
        <v>-3.4009481811523439</v>
      </c>
      <c r="J164" s="17">
        <f t="shared" si="5"/>
        <v>-0.6949591131100078</v>
      </c>
      <c r="K164" s="19">
        <v>0</v>
      </c>
      <c r="L164" s="17">
        <v>0.31351708435770298</v>
      </c>
      <c r="M164" s="19">
        <v>0</v>
      </c>
      <c r="N164" s="17">
        <v>0.13147334290670801</v>
      </c>
      <c r="O164" s="19">
        <v>-5.2298456430435181E-3</v>
      </c>
      <c r="P164" s="17">
        <v>0</v>
      </c>
      <c r="Q164" s="19">
        <v>0</v>
      </c>
      <c r="R164" s="17">
        <v>0</v>
      </c>
      <c r="S164" s="19">
        <v>0</v>
      </c>
    </row>
    <row r="165" spans="1:19" x14ac:dyDescent="0.25">
      <c r="A165" s="3">
        <v>164</v>
      </c>
      <c r="B165" s="23">
        <v>188.3334241999062</v>
      </c>
      <c r="C165" s="18">
        <v>44791.603958333333</v>
      </c>
      <c r="D165" s="23">
        <v>3.008633654242046</v>
      </c>
      <c r="E165" s="19">
        <v>33</v>
      </c>
      <c r="F165" s="17">
        <v>1</v>
      </c>
      <c r="G165" s="19">
        <v>-21.261554718017578</v>
      </c>
      <c r="H165" s="17">
        <v>0.20341983437538147</v>
      </c>
      <c r="I165" s="17">
        <f t="shared" si="4"/>
        <v>-3.4018487548828125</v>
      </c>
      <c r="J165" s="17">
        <f t="shared" si="5"/>
        <v>-0.69200351028835938</v>
      </c>
      <c r="K165" s="19">
        <v>0</v>
      </c>
      <c r="L165" s="17">
        <v>0.31945752838194402</v>
      </c>
      <c r="M165" s="19">
        <v>0</v>
      </c>
      <c r="N165" s="17">
        <v>0.13268321661591501</v>
      </c>
      <c r="O165" s="19">
        <v>-6.1526894569396973E-5</v>
      </c>
      <c r="P165" s="17">
        <v>0</v>
      </c>
      <c r="Q165" s="19">
        <v>0</v>
      </c>
      <c r="R165" s="17">
        <v>0</v>
      </c>
      <c r="S165" s="19">
        <v>0</v>
      </c>
    </row>
    <row r="166" spans="1:19" x14ac:dyDescent="0.25">
      <c r="A166" s="3">
        <v>165</v>
      </c>
      <c r="B166" s="23">
        <v>189.33638085360047</v>
      </c>
      <c r="C166" s="18">
        <v>44791.60396990741</v>
      </c>
      <c r="D166" s="23">
        <v>4.0115903075782908</v>
      </c>
      <c r="E166" s="19">
        <v>33</v>
      </c>
      <c r="F166" s="17">
        <v>1</v>
      </c>
      <c r="G166" s="19">
        <v>-21.257801055908203</v>
      </c>
      <c r="H166" s="17">
        <v>0.20372746884822845</v>
      </c>
      <c r="I166" s="17">
        <f t="shared" si="4"/>
        <v>-3.4012481689453127</v>
      </c>
      <c r="J166" s="17">
        <f t="shared" si="5"/>
        <v>-0.69292768038390029</v>
      </c>
      <c r="K166" s="19">
        <v>0</v>
      </c>
      <c r="L166" s="17">
        <v>0.32538044592374499</v>
      </c>
      <c r="M166" s="19">
        <v>0</v>
      </c>
      <c r="N166" s="17">
        <v>0.133888411312101</v>
      </c>
      <c r="O166" s="19">
        <v>0</v>
      </c>
      <c r="P166" s="17">
        <v>0</v>
      </c>
      <c r="Q166" s="19">
        <v>0</v>
      </c>
      <c r="R166" s="17">
        <v>0</v>
      </c>
      <c r="S166" s="19">
        <v>0</v>
      </c>
    </row>
    <row r="167" spans="1:19" x14ac:dyDescent="0.25">
      <c r="A167" s="3">
        <v>166</v>
      </c>
      <c r="B167" s="23">
        <v>190.32753678372853</v>
      </c>
      <c r="C167" s="18">
        <v>44791.603981481479</v>
      </c>
      <c r="D167" s="23">
        <v>5.0027462341261169</v>
      </c>
      <c r="E167" s="19">
        <v>33</v>
      </c>
      <c r="F167" s="17">
        <v>1</v>
      </c>
      <c r="G167" s="19">
        <v>-21.261554718017578</v>
      </c>
      <c r="H167" s="17">
        <v>0.20341983437538147</v>
      </c>
      <c r="I167" s="17">
        <f t="shared" si="4"/>
        <v>-3.4018487548828125</v>
      </c>
      <c r="J167" s="17">
        <f t="shared" si="5"/>
        <v>-0.69200351028835938</v>
      </c>
      <c r="K167" s="19">
        <v>0</v>
      </c>
      <c r="L167" s="17">
        <v>0.33123369189887703</v>
      </c>
      <c r="M167" s="19">
        <v>0</v>
      </c>
      <c r="N167" s="17">
        <v>0.135078803889428</v>
      </c>
      <c r="O167" s="19">
        <v>0</v>
      </c>
      <c r="P167" s="17">
        <v>0</v>
      </c>
      <c r="Q167" s="19">
        <v>0</v>
      </c>
      <c r="R167" s="17">
        <v>0</v>
      </c>
      <c r="S167" s="19">
        <v>0</v>
      </c>
    </row>
    <row r="168" spans="1:19" x14ac:dyDescent="0.25">
      <c r="A168" s="3">
        <v>167</v>
      </c>
      <c r="B168" s="23">
        <v>191.33257440057855</v>
      </c>
      <c r="C168" s="18">
        <v>44791.603993055549</v>
      </c>
      <c r="D168" s="23">
        <v>1.001851873717827</v>
      </c>
      <c r="E168" s="19">
        <v>34</v>
      </c>
      <c r="F168" s="17">
        <v>1</v>
      </c>
      <c r="G168" s="19">
        <v>-22.511011123657227</v>
      </c>
      <c r="H168" s="17">
        <v>0.17665532231330872</v>
      </c>
      <c r="I168" s="17">
        <f t="shared" si="4"/>
        <v>-3.6017617797851562</v>
      </c>
      <c r="J168" s="17">
        <f t="shared" si="5"/>
        <v>-0.63627038810370318</v>
      </c>
      <c r="K168" s="19">
        <v>0</v>
      </c>
      <c r="L168" s="17">
        <v>0.33748680861454899</v>
      </c>
      <c r="M168" s="19">
        <v>0</v>
      </c>
      <c r="N168" s="17">
        <v>0.13619025839787799</v>
      </c>
      <c r="O168" s="19">
        <v>-5.3529022261500359E-3</v>
      </c>
      <c r="P168" s="17">
        <v>0</v>
      </c>
      <c r="Q168" s="19">
        <v>0</v>
      </c>
      <c r="R168" s="17">
        <v>0</v>
      </c>
      <c r="S168" s="19">
        <v>0</v>
      </c>
    </row>
  </sheetData>
  <phoneticPr fontId="1" type="noConversion"/>
  <printOptions headings="1"/>
  <pageMargins left="0.7" right="0.7" top="0.75" bottom="0.75" header="0.3" footer="0.3"/>
  <pageSetup paperSize="9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工作表</vt:lpstr>
      </vt:variant>
      <vt:variant>
        <vt:i4>2</vt:i4>
      </vt:variant>
      <vt:variant>
        <vt:lpstr>图表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Info</vt:lpstr>
      <vt:lpstr>Channel_1-001</vt:lpstr>
      <vt:lpstr>Channel_Chart</vt:lpstr>
      <vt:lpstr>'Channel_1-001'!Print_Titles</vt:lpstr>
      <vt:lpstr>Info!Print_Titles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chenc</cp:lastModifiedBy>
  <dcterms:created xsi:type="dcterms:W3CDTF">2022-08-18T07:58:28Z</dcterms:created>
  <dcterms:modified xsi:type="dcterms:W3CDTF">2022-08-23T06:14:16Z</dcterms:modified>
</cp:coreProperties>
</file>