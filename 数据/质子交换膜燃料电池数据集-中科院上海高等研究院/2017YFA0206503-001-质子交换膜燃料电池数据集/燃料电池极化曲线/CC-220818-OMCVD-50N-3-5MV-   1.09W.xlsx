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nChi\数据处理\PEMFC\OM-FeNC-CVD\"/>
    </mc:Choice>
  </mc:AlternateContent>
  <xr:revisionPtr revIDLastSave="0" documentId="13_ncr:1_{261D8434-5B81-4FA7-B1DA-E178AE611CF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" sheetId="4" r:id="rId1"/>
    <sheet name="Channel_Chart" sheetId="6" r:id="rId2"/>
    <sheet name="Channel_1-001" sheetId="5" r:id="rId3"/>
  </sheets>
  <definedNames>
    <definedName name="_xlnm.Print_Titles" localSheetId="2">'Channel_1-001'!$1:$1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3" i="5" l="1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J8" i="5"/>
  <c r="I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Q3" authorId="0" shapeId="0" xr:uid="{00000000-0006-0000-0000-000001000000}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sharedStrings.xml><?xml version="1.0" encoding="utf-8"?>
<sst xmlns="http://schemas.openxmlformats.org/spreadsheetml/2006/main" count="49" uniqueCount="46">
  <si>
    <t>TEST REPORT</t>
  </si>
  <si>
    <t>C:\ArbinSoftware\MITS_PRO\Data\CC-220818-OMCVD-50N-3-5MV-.res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</si>
  <si>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</si>
  <si>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</si>
  <si>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</si>
  <si>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</si>
  <si>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</si>
  <si>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</si>
  <si>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</si>
  <si>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</si>
  <si>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</si>
  <si>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</si>
  <si>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</si>
  <si>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</si>
  <si>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</si>
  <si>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</si>
  <si>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</si>
  <si>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</si>
  <si>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</si>
  <si>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</si>
  <si>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</si>
  <si>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</si>
  <si>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</si>
  <si>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</si>
  <si>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</si>
  <si>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</si>
  <si>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</si>
  <si>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</si>
  <si>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CC-220818-OMCVD-50N-3-5MV-</t>
  </si>
  <si>
    <t>1-001</t>
  </si>
  <si>
    <t>chenchi-2.5-2.5-H2-O2-FAST.sdu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</si>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</sst>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0.0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0" fontId="0" fillId="8" borderId="1" xfId="0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horizontal="center" vertical="center" wrapText="1"/>
    </xf>
    <xf numFmtId="176" fontId="0" fillId="10" borderId="1" xfId="0" applyNumberFormat="1" applyFill="1" applyBorder="1" applyAlignment="1">
      <alignment horizontal="center" vertical="center" wrapText="1"/>
    </xf>
    <xf numFmtId="177" fontId="0" fillId="10" borderId="1" xfId="0" applyNumberFormat="1" applyFill="1" applyBorder="1" applyAlignment="1">
      <alignment horizontal="center" vertical="center" wrapText="1"/>
    </xf>
    <xf numFmtId="177" fontId="0" fillId="8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b="1"/>
            </a:pPr>
            <a:r>
              <a:rPr lang="en-US"/>
              <a:t>Current(A), Voltage(V) vs. Test_Time(s)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135045567522811E-3"/>
          <c:y val="1.4945652173913042E-2"/>
          <c:w val="0.97680198840099419"/>
          <c:h val="0.97010869565217406"/>
        </c:manualLayout>
      </c:layout>
      <c:scatterChart>
        <c:scatterStyle val="lineMarker"/>
        <c:varyColors val="0"/>
        <c:ser>
          <c:idx val="0"/>
          <c:order val="0"/>
          <c:smooth val="0"/>
          <c:extLst>
            <c:ext xmlns:c16="http://schemas.microsoft.com/office/drawing/2014/chart" uri="{C3380CC4-5D6E-409C-BE32-E72D297353CC}">
              <c16:uniqueId val="{00000000-E9AF-4AB9-9B3C-5DD9377D21A7}"/>
            </c:ext>
          </c:extLst>
        </c:ser>
        <c:ser>
          <c:idx val="1"/>
          <c:order val="1"/>
          <c:tx>
            <c:v>1-001 Current(A) </c:v>
          </c:tx>
          <c:marker>
            <c:symbol val="none"/>
          </c:marker>
          <c:xVal>
            <c:numRef>
              <c:f>'Channel_1-001'!$B$2:$B$183</c:f>
              <c:numCache>
                <c:formatCode>0.000</c:formatCode>
                <c:ptCount val="182"/>
                <c:pt idx="0">
                  <c:v>5.0126518665573503</c:v>
                </c:pt>
                <c:pt idx="1">
                  <c:v>10.025530445990311</c:v>
                </c:pt>
                <c:pt idx="2">
                  <c:v>15.031641104002349</c:v>
                </c:pt>
                <c:pt idx="3">
                  <c:v>20.045382450028821</c:v>
                </c:pt>
                <c:pt idx="4">
                  <c:v>25.05533156230868</c:v>
                </c:pt>
                <c:pt idx="5">
                  <c:v>30.00281971315129</c:v>
                </c:pt>
                <c:pt idx="6">
                  <c:v>31.016481978869432</c:v>
                </c:pt>
                <c:pt idx="7">
                  <c:v>32.018423044563228</c:v>
                </c:pt>
                <c:pt idx="8">
                  <c:v>33.023434876535475</c:v>
                </c:pt>
                <c:pt idx="9">
                  <c:v>34.027285092602867</c:v>
                </c:pt>
                <c:pt idx="10">
                  <c:v>35.014681186204626</c:v>
                </c:pt>
                <c:pt idx="11">
                  <c:v>36.022521895306667</c:v>
                </c:pt>
                <c:pt idx="12">
                  <c:v>37.026406948526912</c:v>
                </c:pt>
                <c:pt idx="13">
                  <c:v>38.030405290160431</c:v>
                </c:pt>
                <c:pt idx="14">
                  <c:v>39.035329072968835</c:v>
                </c:pt>
                <c:pt idx="15">
                  <c:v>40.027568945727168</c:v>
                </c:pt>
                <c:pt idx="16">
                  <c:v>41.038284823726954</c:v>
                </c:pt>
                <c:pt idx="17">
                  <c:v>42.044200653751552</c:v>
                </c:pt>
                <c:pt idx="18">
                  <c:v>43.051148123776009</c:v>
                </c:pt>
                <c:pt idx="19">
                  <c:v>44.05503910909345</c:v>
                </c:pt>
                <c:pt idx="20">
                  <c:v>45.044324169474173</c:v>
                </c:pt>
                <c:pt idx="21">
                  <c:v>46.057069283343658</c:v>
                </c:pt>
                <c:pt idx="22">
                  <c:v>47.059103070770576</c:v>
                </c:pt>
                <c:pt idx="23">
                  <c:v>48.063954341576235</c:v>
                </c:pt>
                <c:pt idx="24">
                  <c:v>49.073776179599086</c:v>
                </c:pt>
                <c:pt idx="25">
                  <c:v>50.060078530383699</c:v>
                </c:pt>
                <c:pt idx="26">
                  <c:v>51.066032982947327</c:v>
                </c:pt>
                <c:pt idx="27">
                  <c:v>52.071992307857549</c:v>
                </c:pt>
                <c:pt idx="28">
                  <c:v>53.073913599894027</c:v>
                </c:pt>
                <c:pt idx="29">
                  <c:v>54.081762884025331</c:v>
                </c:pt>
                <c:pt idx="30">
                  <c:v>55.070150637461467</c:v>
                </c:pt>
                <c:pt idx="31">
                  <c:v>56.074889754789467</c:v>
                </c:pt>
                <c:pt idx="32">
                  <c:v>57.075008174042551</c:v>
                </c:pt>
                <c:pt idx="33">
                  <c:v>58.078005923862648</c:v>
                </c:pt>
                <c:pt idx="34">
                  <c:v>59.081941286952542</c:v>
                </c:pt>
                <c:pt idx="35">
                  <c:v>60.075038223342439</c:v>
                </c:pt>
                <c:pt idx="36">
                  <c:v>61.078981875758558</c:v>
                </c:pt>
                <c:pt idx="37">
                  <c:v>62.084053720404853</c:v>
                </c:pt>
                <c:pt idx="38">
                  <c:v>63.088925802062938</c:v>
                </c:pt>
                <c:pt idx="39">
                  <c:v>64.091887493152797</c:v>
                </c:pt>
                <c:pt idx="40">
                  <c:v>65.083099304717678</c:v>
                </c:pt>
                <c:pt idx="41">
                  <c:v>66.089972811310687</c:v>
                </c:pt>
                <c:pt idx="42">
                  <c:v>67.093996009466153</c:v>
                </c:pt>
                <c:pt idx="43">
                  <c:v>68.102770824636337</c:v>
                </c:pt>
                <c:pt idx="44">
                  <c:v>69.107696460934221</c:v>
                </c:pt>
                <c:pt idx="45">
                  <c:v>70.096000221616762</c:v>
                </c:pt>
                <c:pt idx="46">
                  <c:v>71.101887567979773</c:v>
                </c:pt>
                <c:pt idx="47">
                  <c:v>72.104873596098983</c:v>
                </c:pt>
                <c:pt idx="48">
                  <c:v>73.107826321197507</c:v>
                </c:pt>
                <c:pt idx="49">
                  <c:v>74.118506095356082</c:v>
                </c:pt>
                <c:pt idx="50">
                  <c:v>75.103050910275641</c:v>
                </c:pt>
                <c:pt idx="51">
                  <c:v>76.10790164690971</c:v>
                </c:pt>
                <c:pt idx="52">
                  <c:v>77.109873237717082</c:v>
                </c:pt>
                <c:pt idx="53">
                  <c:v>78.112867799692822</c:v>
                </c:pt>
                <c:pt idx="54">
                  <c:v>79.118787844016154</c:v>
                </c:pt>
                <c:pt idx="55">
                  <c:v>80.106976379734419</c:v>
                </c:pt>
                <c:pt idx="56">
                  <c:v>81.112995931416947</c:v>
                </c:pt>
                <c:pt idx="57">
                  <c:v>82.11597599772297</c:v>
                </c:pt>
                <c:pt idx="58">
                  <c:v>83.120885228293901</c:v>
                </c:pt>
                <c:pt idx="59">
                  <c:v>84.122824215301222</c:v>
                </c:pt>
                <c:pt idx="60">
                  <c:v>85.12484225540706</c:v>
                </c:pt>
                <c:pt idx="61">
                  <c:v>86.131611675873856</c:v>
                </c:pt>
                <c:pt idx="62">
                  <c:v>87.133715393235505</c:v>
                </c:pt>
                <c:pt idx="63">
                  <c:v>88.138673794802202</c:v>
                </c:pt>
                <c:pt idx="64">
                  <c:v>89.147503856274909</c:v>
                </c:pt>
                <c:pt idx="65">
                  <c:v>90.133797068142684</c:v>
                </c:pt>
                <c:pt idx="66">
                  <c:v>91.137726172259605</c:v>
                </c:pt>
                <c:pt idx="67">
                  <c:v>92.139745125684271</c:v>
                </c:pt>
                <c:pt idx="68">
                  <c:v>93.142697012648981</c:v>
                </c:pt>
                <c:pt idx="69">
                  <c:v>94.147611480034797</c:v>
                </c:pt>
                <c:pt idx="70">
                  <c:v>95.140837328640828</c:v>
                </c:pt>
                <c:pt idx="71">
                  <c:v>96.147716865429587</c:v>
                </c:pt>
                <c:pt idx="72">
                  <c:v>97.149685922502158</c:v>
                </c:pt>
                <c:pt idx="73">
                  <c:v>98.154602833400759</c:v>
                </c:pt>
                <c:pt idx="74">
                  <c:v>99.15849371703942</c:v>
                </c:pt>
                <c:pt idx="75">
                  <c:v>100.15073289021916</c:v>
                </c:pt>
                <c:pt idx="76">
                  <c:v>101.16830738173576</c:v>
                </c:pt>
                <c:pt idx="77">
                  <c:v>102.17035712342155</c:v>
                </c:pt>
                <c:pt idx="78">
                  <c:v>103.1704033579057</c:v>
                </c:pt>
                <c:pt idx="79">
                  <c:v>104.17335258690134</c:v>
                </c:pt>
                <c:pt idx="80">
                  <c:v>105.16363858888479</c:v>
                </c:pt>
                <c:pt idx="81">
                  <c:v>106.16756686596661</c:v>
                </c:pt>
                <c:pt idx="82">
                  <c:v>107.16865822434492</c:v>
                </c:pt>
                <c:pt idx="83">
                  <c:v>108.1744763929813</c:v>
                </c:pt>
                <c:pt idx="84">
                  <c:v>109.17844734113586</c:v>
                </c:pt>
                <c:pt idx="85">
                  <c:v>110.16871715614494</c:v>
                </c:pt>
                <c:pt idx="86">
                  <c:v>111.18725019995632</c:v>
                </c:pt>
                <c:pt idx="87">
                  <c:v>112.18829810139952</c:v>
                </c:pt>
                <c:pt idx="88">
                  <c:v>113.19419549999822</c:v>
                </c:pt>
                <c:pt idx="89">
                  <c:v>114.20197405007322</c:v>
                </c:pt>
                <c:pt idx="90">
                  <c:v>115.17865990741502</c:v>
                </c:pt>
                <c:pt idx="91">
                  <c:v>116.18260714973631</c:v>
                </c:pt>
                <c:pt idx="92">
                  <c:v>117.18752336893284</c:v>
                </c:pt>
                <c:pt idx="93">
                  <c:v>118.18859851026276</c:v>
                </c:pt>
                <c:pt idx="94">
                  <c:v>119.19632989678172</c:v>
                </c:pt>
                <c:pt idx="95">
                  <c:v>120.18955833927056</c:v>
                </c:pt>
                <c:pt idx="96">
                  <c:v>121.19638113751338</c:v>
                </c:pt>
                <c:pt idx="97">
                  <c:v>122.19942459981884</c:v>
                </c:pt>
                <c:pt idx="98">
                  <c:v>123.20623819541656</c:v>
                </c:pt>
                <c:pt idx="99">
                  <c:v>124.21121174676256</c:v>
                </c:pt>
                <c:pt idx="100">
                  <c:v>125.19851500549566</c:v>
                </c:pt>
                <c:pt idx="101">
                  <c:v>126.20441240051412</c:v>
                </c:pt>
                <c:pt idx="102">
                  <c:v>127.20443733114701</c:v>
                </c:pt>
                <c:pt idx="103">
                  <c:v>128.20935335844274</c:v>
                </c:pt>
                <c:pt idx="104">
                  <c:v>129.21625015770951</c:v>
                </c:pt>
                <c:pt idx="105">
                  <c:v>130.20454229836992</c:v>
                </c:pt>
                <c:pt idx="106">
                  <c:v>131.21044015559718</c:v>
                </c:pt>
                <c:pt idx="107">
                  <c:v>132.21732477095424</c:v>
                </c:pt>
                <c:pt idx="108">
                  <c:v>133.21930781637673</c:v>
                </c:pt>
                <c:pt idx="109">
                  <c:v>134.22618006379983</c:v>
                </c:pt>
                <c:pt idx="110">
                  <c:v>135.21644714923508</c:v>
                </c:pt>
                <c:pt idx="111">
                  <c:v>136.22230183523027</c:v>
                </c:pt>
                <c:pt idx="112">
                  <c:v>137.22723680198774</c:v>
                </c:pt>
                <c:pt idx="113">
                  <c:v>138.23318187540053</c:v>
                </c:pt>
                <c:pt idx="114">
                  <c:v>139.23910181052662</c:v>
                </c:pt>
                <c:pt idx="115">
                  <c:v>140.22831179867603</c:v>
                </c:pt>
                <c:pt idx="116">
                  <c:v>141.23227994242978</c:v>
                </c:pt>
                <c:pt idx="117">
                  <c:v>142.2323249249045</c:v>
                </c:pt>
                <c:pt idx="118">
                  <c:v>143.23818714837583</c:v>
                </c:pt>
                <c:pt idx="119">
                  <c:v>144.24417280271811</c:v>
                </c:pt>
                <c:pt idx="120">
                  <c:v>145.23529253162246</c:v>
                </c:pt>
                <c:pt idx="121">
                  <c:v>146.25002848795788</c:v>
                </c:pt>
                <c:pt idx="122">
                  <c:v>147.25113551883027</c:v>
                </c:pt>
                <c:pt idx="123">
                  <c:v>148.25700720057569</c:v>
                </c:pt>
                <c:pt idx="124">
                  <c:v>149.26381774366209</c:v>
                </c:pt>
                <c:pt idx="125">
                  <c:v>150.23848665036465</c:v>
                </c:pt>
                <c:pt idx="126">
                  <c:v>151.24237575569884</c:v>
                </c:pt>
                <c:pt idx="127">
                  <c:v>152.24631316382099</c:v>
                </c:pt>
                <c:pt idx="128">
                  <c:v>153.25029096132985</c:v>
                </c:pt>
                <c:pt idx="129">
                  <c:v>154.25517639978375</c:v>
                </c:pt>
                <c:pt idx="130">
                  <c:v>155.24443853625527</c:v>
                </c:pt>
                <c:pt idx="131">
                  <c:v>156.2484414305201</c:v>
                </c:pt>
                <c:pt idx="132">
                  <c:v>157.25039477034559</c:v>
                </c:pt>
                <c:pt idx="133">
                  <c:v>158.2562909545274</c:v>
                </c:pt>
                <c:pt idx="134">
                  <c:v>159.2592215866901</c:v>
                </c:pt>
                <c:pt idx="135">
                  <c:v>160.2514669515343</c:v>
                </c:pt>
                <c:pt idx="136">
                  <c:v>161.25832051548275</c:v>
                </c:pt>
                <c:pt idx="137">
                  <c:v>162.26030547418469</c:v>
                </c:pt>
                <c:pt idx="138">
                  <c:v>163.26628991804833</c:v>
                </c:pt>
                <c:pt idx="139">
                  <c:v>164.27610361747298</c:v>
                </c:pt>
                <c:pt idx="140">
                  <c:v>165.26533198083857</c:v>
                </c:pt>
                <c:pt idx="141">
                  <c:v>166.27319326807751</c:v>
                </c:pt>
                <c:pt idx="142">
                  <c:v>167.27723220245531</c:v>
                </c:pt>
                <c:pt idx="143">
                  <c:v>168.28204248597442</c:v>
                </c:pt>
                <c:pt idx="144">
                  <c:v>169.28305634364563</c:v>
                </c:pt>
                <c:pt idx="145">
                  <c:v>170.27333026733643</c:v>
                </c:pt>
                <c:pt idx="146">
                  <c:v>171.27629130037843</c:v>
                </c:pt>
                <c:pt idx="147">
                  <c:v>172.28124848036776</c:v>
                </c:pt>
                <c:pt idx="148">
                  <c:v>173.28907592325402</c:v>
                </c:pt>
                <c:pt idx="149">
                  <c:v>174.2929763929813</c:v>
                </c:pt>
                <c:pt idx="150">
                  <c:v>175.28524015953542</c:v>
                </c:pt>
                <c:pt idx="151">
                  <c:v>176.29304420842718</c:v>
                </c:pt>
                <c:pt idx="152">
                  <c:v>177.29799931331024</c:v>
                </c:pt>
                <c:pt idx="153">
                  <c:v>178.3029037585344</c:v>
                </c:pt>
                <c:pt idx="154">
                  <c:v>179.30984197328425</c:v>
                </c:pt>
                <c:pt idx="155">
                  <c:v>180.30298125422911</c:v>
                </c:pt>
                <c:pt idx="156">
                  <c:v>181.31961708310808</c:v>
                </c:pt>
                <c:pt idx="157">
                  <c:v>182.32262906903057</c:v>
                </c:pt>
                <c:pt idx="158">
                  <c:v>183.33237401928315</c:v>
                </c:pt>
                <c:pt idx="159">
                  <c:v>184.33635219629733</c:v>
                </c:pt>
                <c:pt idx="160">
                  <c:v>185.30802081514872</c:v>
                </c:pt>
                <c:pt idx="161">
                  <c:v>186.32660389852171</c:v>
                </c:pt>
                <c:pt idx="162">
                  <c:v>187.32960734342723</c:v>
                </c:pt>
                <c:pt idx="163">
                  <c:v>188.33453595669343</c:v>
                </c:pt>
                <c:pt idx="164">
                  <c:v>189.34138682543829</c:v>
                </c:pt>
                <c:pt idx="165">
                  <c:v>190.31308375896404</c:v>
                </c:pt>
                <c:pt idx="166">
                  <c:v>191.32393235354141</c:v>
                </c:pt>
                <c:pt idx="167">
                  <c:v>192.32785242400047</c:v>
                </c:pt>
                <c:pt idx="168">
                  <c:v>193.33181784963716</c:v>
                </c:pt>
                <c:pt idx="169">
                  <c:v>194.33674426785913</c:v>
                </c:pt>
                <c:pt idx="170">
                  <c:v>195.32500854137501</c:v>
                </c:pt>
                <c:pt idx="171">
                  <c:v>196.32893963001817</c:v>
                </c:pt>
                <c:pt idx="172">
                  <c:v>197.33189715943877</c:v>
                </c:pt>
                <c:pt idx="173">
                  <c:v>198.33492098700015</c:v>
                </c:pt>
                <c:pt idx="174">
                  <c:v>199.34270512332137</c:v>
                </c:pt>
                <c:pt idx="175">
                  <c:v>200.33297887050631</c:v>
                </c:pt>
                <c:pt idx="176">
                  <c:v>201.33889656511911</c:v>
                </c:pt>
                <c:pt idx="177">
                  <c:v>202.3428320259496</c:v>
                </c:pt>
                <c:pt idx="178">
                  <c:v>203.34967528955175</c:v>
                </c:pt>
                <c:pt idx="179">
                  <c:v>204.35850805768479</c:v>
                </c:pt>
                <c:pt idx="180">
                  <c:v>205.34880937127431</c:v>
                </c:pt>
                <c:pt idx="181">
                  <c:v>206.35569788479509</c:v>
                </c:pt>
              </c:numCache>
            </c:numRef>
          </c:xVal>
          <c:yVal>
            <c:numRef>
              <c:f>'Channel_1-001'!$G$2:$G$183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-0.27514734864234924</c:v>
                </c:pt>
                <c:pt idx="7">
                  <c:v>-0.27514734864234924</c:v>
                </c:pt>
                <c:pt idx="8">
                  <c:v>-0.27514734864234924</c:v>
                </c:pt>
                <c:pt idx="9">
                  <c:v>-0.27514734864234924</c:v>
                </c:pt>
                <c:pt idx="10">
                  <c:v>-0.27511316537857056</c:v>
                </c:pt>
                <c:pt idx="11">
                  <c:v>-0.62519323825836182</c:v>
                </c:pt>
                <c:pt idx="12">
                  <c:v>-0.62515902519226074</c:v>
                </c:pt>
                <c:pt idx="13">
                  <c:v>-0.62519323825836182</c:v>
                </c:pt>
                <c:pt idx="14">
                  <c:v>-0.62515902519226074</c:v>
                </c:pt>
                <c:pt idx="15">
                  <c:v>-0.62515902519226074</c:v>
                </c:pt>
                <c:pt idx="16">
                  <c:v>-0.93768167495727539</c:v>
                </c:pt>
                <c:pt idx="17">
                  <c:v>-0.93768167495727539</c:v>
                </c:pt>
                <c:pt idx="18">
                  <c:v>-0.93768167495727539</c:v>
                </c:pt>
                <c:pt idx="19">
                  <c:v>-0.93761330842971802</c:v>
                </c:pt>
                <c:pt idx="20">
                  <c:v>-0.93768167495727539</c:v>
                </c:pt>
                <c:pt idx="21">
                  <c:v>-1.2509503364562988</c:v>
                </c:pt>
                <c:pt idx="22">
                  <c:v>-1.2502105236053467</c:v>
                </c:pt>
                <c:pt idx="23">
                  <c:v>-1.2509503364562988</c:v>
                </c:pt>
                <c:pt idx="24">
                  <c:v>-1.2509503364562988</c:v>
                </c:pt>
                <c:pt idx="25">
                  <c:v>-1.2505804300308228</c:v>
                </c:pt>
                <c:pt idx="26">
                  <c:v>-1.5634903907775879</c:v>
                </c:pt>
                <c:pt idx="27">
                  <c:v>-1.5631206035614014</c:v>
                </c:pt>
                <c:pt idx="28">
                  <c:v>-1.5631206035614014</c:v>
                </c:pt>
                <c:pt idx="29">
                  <c:v>-1.5631206035614014</c:v>
                </c:pt>
                <c:pt idx="30">
                  <c:v>-1.5631206035614014</c:v>
                </c:pt>
                <c:pt idx="31">
                  <c:v>-1.8756606578826904</c:v>
                </c:pt>
                <c:pt idx="32">
                  <c:v>-1.8760305643081665</c:v>
                </c:pt>
                <c:pt idx="33">
                  <c:v>-1.8752908706665039</c:v>
                </c:pt>
                <c:pt idx="34">
                  <c:v>-1.8752908706665039</c:v>
                </c:pt>
                <c:pt idx="35">
                  <c:v>-1.8760305643081665</c:v>
                </c:pt>
                <c:pt idx="36">
                  <c:v>-2.1885707378387451</c:v>
                </c:pt>
                <c:pt idx="37">
                  <c:v>-2.1882007122039795</c:v>
                </c:pt>
                <c:pt idx="38">
                  <c:v>-2.1889405250549316</c:v>
                </c:pt>
                <c:pt idx="39">
                  <c:v>-2.1882007122039795</c:v>
                </c:pt>
                <c:pt idx="40">
                  <c:v>-2.1885707378387451</c:v>
                </c:pt>
                <c:pt idx="41">
                  <c:v>-2.5007410049438477</c:v>
                </c:pt>
                <c:pt idx="42">
                  <c:v>-2.5011107921600342</c:v>
                </c:pt>
                <c:pt idx="43">
                  <c:v>-2.5007410049438477</c:v>
                </c:pt>
                <c:pt idx="44">
                  <c:v>-2.5007410049438477</c:v>
                </c:pt>
                <c:pt idx="45">
                  <c:v>-2.5011107921600342</c:v>
                </c:pt>
                <c:pt idx="46">
                  <c:v>-2.8136510848999023</c:v>
                </c:pt>
                <c:pt idx="47">
                  <c:v>-2.8136510848999023</c:v>
                </c:pt>
                <c:pt idx="48">
                  <c:v>-2.8132810592651367</c:v>
                </c:pt>
                <c:pt idx="49">
                  <c:v>-2.8132810592651367</c:v>
                </c:pt>
                <c:pt idx="50">
                  <c:v>-2.8136510848999023</c:v>
                </c:pt>
                <c:pt idx="51">
                  <c:v>-3.1254513263702393</c:v>
                </c:pt>
                <c:pt idx="52">
                  <c:v>-3.1258213520050049</c:v>
                </c:pt>
                <c:pt idx="53">
                  <c:v>-3.1258213520050049</c:v>
                </c:pt>
                <c:pt idx="54">
                  <c:v>-3.1261911392211914</c:v>
                </c:pt>
                <c:pt idx="55">
                  <c:v>-3.1258213520050049</c:v>
                </c:pt>
                <c:pt idx="56">
                  <c:v>-3.4383614063262939</c:v>
                </c:pt>
                <c:pt idx="57">
                  <c:v>-3.4387311935424805</c:v>
                </c:pt>
                <c:pt idx="58">
                  <c:v>-3.4387311935424805</c:v>
                </c:pt>
                <c:pt idx="59">
                  <c:v>-3.4383614063262939</c:v>
                </c:pt>
                <c:pt idx="60">
                  <c:v>-3.4383614063262939</c:v>
                </c:pt>
                <c:pt idx="61">
                  <c:v>-3.750901460647583</c:v>
                </c:pt>
                <c:pt idx="62">
                  <c:v>-3.7512714862823486</c:v>
                </c:pt>
                <c:pt idx="63">
                  <c:v>-3.7512714862823486</c:v>
                </c:pt>
                <c:pt idx="64">
                  <c:v>-3.7516412734985352</c:v>
                </c:pt>
                <c:pt idx="65">
                  <c:v>-3.7516412734985352</c:v>
                </c:pt>
                <c:pt idx="66">
                  <c:v>-4.0638117790222168</c:v>
                </c:pt>
                <c:pt idx="67">
                  <c:v>-4.0638117790222168</c:v>
                </c:pt>
                <c:pt idx="68">
                  <c:v>-4.0638117790222168</c:v>
                </c:pt>
                <c:pt idx="69">
                  <c:v>-4.0645513534545898</c:v>
                </c:pt>
                <c:pt idx="70">
                  <c:v>-4.0641818046569824</c:v>
                </c:pt>
                <c:pt idx="71">
                  <c:v>-4.3770918846130371</c:v>
                </c:pt>
                <c:pt idx="72">
                  <c:v>-4.3767218589782715</c:v>
                </c:pt>
                <c:pt idx="73">
                  <c:v>-4.3763518333435059</c:v>
                </c:pt>
                <c:pt idx="74">
                  <c:v>-4.3770918846130371</c:v>
                </c:pt>
                <c:pt idx="75">
                  <c:v>-4.3770918846130371</c:v>
                </c:pt>
                <c:pt idx="76">
                  <c:v>-4.6888918876647949</c:v>
                </c:pt>
                <c:pt idx="77">
                  <c:v>-4.6892619132995605</c:v>
                </c:pt>
                <c:pt idx="78">
                  <c:v>-4.6892619132995605</c:v>
                </c:pt>
                <c:pt idx="79">
                  <c:v>-4.6892619132995605</c:v>
                </c:pt>
                <c:pt idx="80">
                  <c:v>-4.6892619132995605</c:v>
                </c:pt>
                <c:pt idx="81">
                  <c:v>-5.0018019676208496</c:v>
                </c:pt>
                <c:pt idx="82">
                  <c:v>-5.0018019676208496</c:v>
                </c:pt>
                <c:pt idx="83">
                  <c:v>-5.0010623931884766</c:v>
                </c:pt>
                <c:pt idx="84">
                  <c:v>-5.0014324188232422</c:v>
                </c:pt>
                <c:pt idx="85">
                  <c:v>-5.0014324188232422</c:v>
                </c:pt>
                <c:pt idx="86">
                  <c:v>-5.3143420219421387</c:v>
                </c:pt>
                <c:pt idx="87">
                  <c:v>-5.3139724731445313</c:v>
                </c:pt>
                <c:pt idx="88">
                  <c:v>-5.3139724731445313</c:v>
                </c:pt>
                <c:pt idx="89">
                  <c:v>-5.3143420219421387</c:v>
                </c:pt>
                <c:pt idx="90">
                  <c:v>-5.3139724731445313</c:v>
                </c:pt>
                <c:pt idx="91">
                  <c:v>-5.6268825531005859</c:v>
                </c:pt>
                <c:pt idx="92">
                  <c:v>-5.6265125274658203</c:v>
                </c:pt>
                <c:pt idx="93">
                  <c:v>-5.6268825531005859</c:v>
                </c:pt>
                <c:pt idx="94">
                  <c:v>-5.6268825531005859</c:v>
                </c:pt>
                <c:pt idx="95">
                  <c:v>-5.6268825531005859</c:v>
                </c:pt>
                <c:pt idx="96">
                  <c:v>-5.939422607421875</c:v>
                </c:pt>
                <c:pt idx="97">
                  <c:v>-5.9390525817871094</c:v>
                </c:pt>
                <c:pt idx="98">
                  <c:v>-5.9390525817871094</c:v>
                </c:pt>
                <c:pt idx="99">
                  <c:v>-5.939422607421875</c:v>
                </c:pt>
                <c:pt idx="100">
                  <c:v>-5.939422607421875</c:v>
                </c:pt>
                <c:pt idx="101">
                  <c:v>-6.251223087310791</c:v>
                </c:pt>
                <c:pt idx="102">
                  <c:v>-6.2519626617431641</c:v>
                </c:pt>
                <c:pt idx="103">
                  <c:v>-6.2515926361083984</c:v>
                </c:pt>
                <c:pt idx="104">
                  <c:v>-6.251223087310791</c:v>
                </c:pt>
                <c:pt idx="105">
                  <c:v>-6.2519626617431641</c:v>
                </c:pt>
                <c:pt idx="106">
                  <c:v>-7.5021233558654785</c:v>
                </c:pt>
                <c:pt idx="107">
                  <c:v>-7.5021233558654785</c:v>
                </c:pt>
                <c:pt idx="108">
                  <c:v>-7.5021233558654785</c:v>
                </c:pt>
                <c:pt idx="109">
                  <c:v>-7.5028629302978516</c:v>
                </c:pt>
                <c:pt idx="110">
                  <c:v>-7.5013833045959473</c:v>
                </c:pt>
                <c:pt idx="111">
                  <c:v>-8.7519130706787109</c:v>
                </c:pt>
                <c:pt idx="112">
                  <c:v>-8.7519130706787109</c:v>
                </c:pt>
                <c:pt idx="113">
                  <c:v>-8.7515430450439453</c:v>
                </c:pt>
                <c:pt idx="114">
                  <c:v>-8.7515430450439453</c:v>
                </c:pt>
                <c:pt idx="115">
                  <c:v>-8.7515430450439453</c:v>
                </c:pt>
                <c:pt idx="116">
                  <c:v>-10.001704216003418</c:v>
                </c:pt>
                <c:pt idx="117">
                  <c:v>-10.001704216003418</c:v>
                </c:pt>
                <c:pt idx="118">
                  <c:v>-10.001704216003418</c:v>
                </c:pt>
                <c:pt idx="119">
                  <c:v>-10.001334190368652</c:v>
                </c:pt>
                <c:pt idx="120">
                  <c:v>-10.002074241638184</c:v>
                </c:pt>
                <c:pt idx="121">
                  <c:v>-11.254638671875</c:v>
                </c:pt>
                <c:pt idx="122">
                  <c:v>-11.258390426635742</c:v>
                </c:pt>
                <c:pt idx="123">
                  <c:v>-11.252762794494629</c:v>
                </c:pt>
                <c:pt idx="124">
                  <c:v>-11.254638671875</c:v>
                </c:pt>
                <c:pt idx="125">
                  <c:v>-11.254638671875</c:v>
                </c:pt>
                <c:pt idx="126">
                  <c:v>-12.509724617004395</c:v>
                </c:pt>
                <c:pt idx="127">
                  <c:v>-12.505971908569336</c:v>
                </c:pt>
                <c:pt idx="128">
                  <c:v>-12.507847785949707</c:v>
                </c:pt>
                <c:pt idx="129">
                  <c:v>-12.505971908569336</c:v>
                </c:pt>
                <c:pt idx="130">
                  <c:v>-12.507847785949707</c:v>
                </c:pt>
                <c:pt idx="131">
                  <c:v>-13.759181976318359</c:v>
                </c:pt>
                <c:pt idx="132">
                  <c:v>-13.757305145263672</c:v>
                </c:pt>
                <c:pt idx="133">
                  <c:v>-13.757305145263672</c:v>
                </c:pt>
                <c:pt idx="134">
                  <c:v>-13.755429267883301</c:v>
                </c:pt>
                <c:pt idx="135">
                  <c:v>-13.757305145263672</c:v>
                </c:pt>
                <c:pt idx="136">
                  <c:v>-15.008639335632324</c:v>
                </c:pt>
                <c:pt idx="137">
                  <c:v>-15.004886627197266</c:v>
                </c:pt>
                <c:pt idx="138">
                  <c:v>-15.006762504577637</c:v>
                </c:pt>
                <c:pt idx="139">
                  <c:v>-15.010515213012695</c:v>
                </c:pt>
                <c:pt idx="140">
                  <c:v>-15.006762504577637</c:v>
                </c:pt>
                <c:pt idx="141">
                  <c:v>-16.256219863891602</c:v>
                </c:pt>
                <c:pt idx="142">
                  <c:v>-16.259971618652344</c:v>
                </c:pt>
                <c:pt idx="143">
                  <c:v>-16.256219863891602</c:v>
                </c:pt>
                <c:pt idx="144">
                  <c:v>-16.256219863891602</c:v>
                </c:pt>
                <c:pt idx="145">
                  <c:v>-16.256219863891602</c:v>
                </c:pt>
                <c:pt idx="146">
                  <c:v>-17.507553100585938</c:v>
                </c:pt>
                <c:pt idx="147">
                  <c:v>-17.507553100585938</c:v>
                </c:pt>
                <c:pt idx="148">
                  <c:v>-17.507553100585938</c:v>
                </c:pt>
                <c:pt idx="149">
                  <c:v>-17.505678176879883</c:v>
                </c:pt>
                <c:pt idx="150">
                  <c:v>-17.505678176879883</c:v>
                </c:pt>
                <c:pt idx="151">
                  <c:v>-18.755134582519531</c:v>
                </c:pt>
                <c:pt idx="152">
                  <c:v>-18.757011413574219</c:v>
                </c:pt>
                <c:pt idx="153">
                  <c:v>-18.758886337280273</c:v>
                </c:pt>
                <c:pt idx="154">
                  <c:v>-18.757011413574219</c:v>
                </c:pt>
                <c:pt idx="155">
                  <c:v>-18.753259658813477</c:v>
                </c:pt>
                <c:pt idx="156">
                  <c:v>-20.010221481323242</c:v>
                </c:pt>
                <c:pt idx="157">
                  <c:v>-20.010221481323242</c:v>
                </c:pt>
                <c:pt idx="158">
                  <c:v>-20.012096405029297</c:v>
                </c:pt>
                <c:pt idx="159">
                  <c:v>-20.008344650268555</c:v>
                </c:pt>
                <c:pt idx="160">
                  <c:v>-20.006467819213867</c:v>
                </c:pt>
                <c:pt idx="161">
                  <c:v>-21.257801055908203</c:v>
                </c:pt>
                <c:pt idx="162">
                  <c:v>-21.257801055908203</c:v>
                </c:pt>
                <c:pt idx="163">
                  <c:v>-21.259677886962891</c:v>
                </c:pt>
                <c:pt idx="164">
                  <c:v>-21.259677886962891</c:v>
                </c:pt>
                <c:pt idx="165">
                  <c:v>-21.255926132202148</c:v>
                </c:pt>
                <c:pt idx="166">
                  <c:v>-22.507259368896484</c:v>
                </c:pt>
                <c:pt idx="167">
                  <c:v>-22.511011123657227</c:v>
                </c:pt>
                <c:pt idx="168">
                  <c:v>-22.507259368896484</c:v>
                </c:pt>
                <c:pt idx="169">
                  <c:v>-22.505382537841797</c:v>
                </c:pt>
                <c:pt idx="170">
                  <c:v>-22.505382537841797</c:v>
                </c:pt>
                <c:pt idx="171">
                  <c:v>-23.760469436645508</c:v>
                </c:pt>
                <c:pt idx="172">
                  <c:v>-23.760469436645508</c:v>
                </c:pt>
                <c:pt idx="173">
                  <c:v>-23.756715774536133</c:v>
                </c:pt>
                <c:pt idx="174">
                  <c:v>-23.75859260559082</c:v>
                </c:pt>
                <c:pt idx="175">
                  <c:v>-23.756715774536133</c:v>
                </c:pt>
                <c:pt idx="176">
                  <c:v>-25.006174087524414</c:v>
                </c:pt>
                <c:pt idx="177">
                  <c:v>-25.008050918579102</c:v>
                </c:pt>
                <c:pt idx="178">
                  <c:v>-25.009925842285156</c:v>
                </c:pt>
                <c:pt idx="179">
                  <c:v>-25.006174087524414</c:v>
                </c:pt>
                <c:pt idx="180">
                  <c:v>-25.008050918579102</c:v>
                </c:pt>
                <c:pt idx="181">
                  <c:v>-26.261259078979492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AF-4AB9-9B3C-5DD9377D2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474944"/>
        <c:axId val="261472256"/>
      </c:scatterChart>
      <c:scatterChart>
        <c:scatterStyle val="lineMarker"/>
        <c:varyColors val="0"/>
        <c:ser>
          <c:idx val="2"/>
          <c:order val="2"/>
          <c:tx>
            <c:v>1-001 Voltage(V) </c:v>
          </c:tx>
          <c:marker>
            <c:symbol val="none"/>
          </c:marker>
          <c:xVal>
            <c:numRef>
              <c:f>'Channel_1-001'!$B$2:$B$183</c:f>
              <c:numCache>
                <c:formatCode>0.000</c:formatCode>
                <c:ptCount val="182"/>
                <c:pt idx="0">
                  <c:v>5.0126518665573503</c:v>
                </c:pt>
                <c:pt idx="1">
                  <c:v>10.025530445990311</c:v>
                </c:pt>
                <c:pt idx="2">
                  <c:v>15.031641104002349</c:v>
                </c:pt>
                <c:pt idx="3">
                  <c:v>20.045382450028821</c:v>
                </c:pt>
                <c:pt idx="4">
                  <c:v>25.05533156230868</c:v>
                </c:pt>
                <c:pt idx="5">
                  <c:v>30.00281971315129</c:v>
                </c:pt>
                <c:pt idx="6">
                  <c:v>31.016481978869432</c:v>
                </c:pt>
                <c:pt idx="7">
                  <c:v>32.018423044563228</c:v>
                </c:pt>
                <c:pt idx="8">
                  <c:v>33.023434876535475</c:v>
                </c:pt>
                <c:pt idx="9">
                  <c:v>34.027285092602867</c:v>
                </c:pt>
                <c:pt idx="10">
                  <c:v>35.014681186204626</c:v>
                </c:pt>
                <c:pt idx="11">
                  <c:v>36.022521895306667</c:v>
                </c:pt>
                <c:pt idx="12">
                  <c:v>37.026406948526912</c:v>
                </c:pt>
                <c:pt idx="13">
                  <c:v>38.030405290160431</c:v>
                </c:pt>
                <c:pt idx="14">
                  <c:v>39.035329072968835</c:v>
                </c:pt>
                <c:pt idx="15">
                  <c:v>40.027568945727168</c:v>
                </c:pt>
                <c:pt idx="16">
                  <c:v>41.038284823726954</c:v>
                </c:pt>
                <c:pt idx="17">
                  <c:v>42.044200653751552</c:v>
                </c:pt>
                <c:pt idx="18">
                  <c:v>43.051148123776009</c:v>
                </c:pt>
                <c:pt idx="19">
                  <c:v>44.05503910909345</c:v>
                </c:pt>
                <c:pt idx="20">
                  <c:v>45.044324169474173</c:v>
                </c:pt>
                <c:pt idx="21">
                  <c:v>46.057069283343658</c:v>
                </c:pt>
                <c:pt idx="22">
                  <c:v>47.059103070770576</c:v>
                </c:pt>
                <c:pt idx="23">
                  <c:v>48.063954341576235</c:v>
                </c:pt>
                <c:pt idx="24">
                  <c:v>49.073776179599086</c:v>
                </c:pt>
                <c:pt idx="25">
                  <c:v>50.060078530383699</c:v>
                </c:pt>
                <c:pt idx="26">
                  <c:v>51.066032982947327</c:v>
                </c:pt>
                <c:pt idx="27">
                  <c:v>52.071992307857549</c:v>
                </c:pt>
                <c:pt idx="28">
                  <c:v>53.073913599894027</c:v>
                </c:pt>
                <c:pt idx="29">
                  <c:v>54.081762884025331</c:v>
                </c:pt>
                <c:pt idx="30">
                  <c:v>55.070150637461467</c:v>
                </c:pt>
                <c:pt idx="31">
                  <c:v>56.074889754789467</c:v>
                </c:pt>
                <c:pt idx="32">
                  <c:v>57.075008174042551</c:v>
                </c:pt>
                <c:pt idx="33">
                  <c:v>58.078005923862648</c:v>
                </c:pt>
                <c:pt idx="34">
                  <c:v>59.081941286952542</c:v>
                </c:pt>
                <c:pt idx="35">
                  <c:v>60.075038223342439</c:v>
                </c:pt>
                <c:pt idx="36">
                  <c:v>61.078981875758558</c:v>
                </c:pt>
                <c:pt idx="37">
                  <c:v>62.084053720404853</c:v>
                </c:pt>
                <c:pt idx="38">
                  <c:v>63.088925802062938</c:v>
                </c:pt>
                <c:pt idx="39">
                  <c:v>64.091887493152797</c:v>
                </c:pt>
                <c:pt idx="40">
                  <c:v>65.083099304717678</c:v>
                </c:pt>
                <c:pt idx="41">
                  <c:v>66.089972811310687</c:v>
                </c:pt>
                <c:pt idx="42">
                  <c:v>67.093996009466153</c:v>
                </c:pt>
                <c:pt idx="43">
                  <c:v>68.102770824636337</c:v>
                </c:pt>
                <c:pt idx="44">
                  <c:v>69.107696460934221</c:v>
                </c:pt>
                <c:pt idx="45">
                  <c:v>70.096000221616762</c:v>
                </c:pt>
                <c:pt idx="46">
                  <c:v>71.101887567979773</c:v>
                </c:pt>
                <c:pt idx="47">
                  <c:v>72.104873596098983</c:v>
                </c:pt>
                <c:pt idx="48">
                  <c:v>73.107826321197507</c:v>
                </c:pt>
                <c:pt idx="49">
                  <c:v>74.118506095356082</c:v>
                </c:pt>
                <c:pt idx="50">
                  <c:v>75.103050910275641</c:v>
                </c:pt>
                <c:pt idx="51">
                  <c:v>76.10790164690971</c:v>
                </c:pt>
                <c:pt idx="52">
                  <c:v>77.109873237717082</c:v>
                </c:pt>
                <c:pt idx="53">
                  <c:v>78.112867799692822</c:v>
                </c:pt>
                <c:pt idx="54">
                  <c:v>79.118787844016154</c:v>
                </c:pt>
                <c:pt idx="55">
                  <c:v>80.106976379734419</c:v>
                </c:pt>
                <c:pt idx="56">
                  <c:v>81.112995931416947</c:v>
                </c:pt>
                <c:pt idx="57">
                  <c:v>82.11597599772297</c:v>
                </c:pt>
                <c:pt idx="58">
                  <c:v>83.120885228293901</c:v>
                </c:pt>
                <c:pt idx="59">
                  <c:v>84.122824215301222</c:v>
                </c:pt>
                <c:pt idx="60">
                  <c:v>85.12484225540706</c:v>
                </c:pt>
                <c:pt idx="61">
                  <c:v>86.131611675873856</c:v>
                </c:pt>
                <c:pt idx="62">
                  <c:v>87.133715393235505</c:v>
                </c:pt>
                <c:pt idx="63">
                  <c:v>88.138673794802202</c:v>
                </c:pt>
                <c:pt idx="64">
                  <c:v>89.147503856274909</c:v>
                </c:pt>
                <c:pt idx="65">
                  <c:v>90.133797068142684</c:v>
                </c:pt>
                <c:pt idx="66">
                  <c:v>91.137726172259605</c:v>
                </c:pt>
                <c:pt idx="67">
                  <c:v>92.139745125684271</c:v>
                </c:pt>
                <c:pt idx="68">
                  <c:v>93.142697012648981</c:v>
                </c:pt>
                <c:pt idx="69">
                  <c:v>94.147611480034797</c:v>
                </c:pt>
                <c:pt idx="70">
                  <c:v>95.140837328640828</c:v>
                </c:pt>
                <c:pt idx="71">
                  <c:v>96.147716865429587</c:v>
                </c:pt>
                <c:pt idx="72">
                  <c:v>97.149685922502158</c:v>
                </c:pt>
                <c:pt idx="73">
                  <c:v>98.154602833400759</c:v>
                </c:pt>
                <c:pt idx="74">
                  <c:v>99.15849371703942</c:v>
                </c:pt>
                <c:pt idx="75">
                  <c:v>100.15073289021916</c:v>
                </c:pt>
                <c:pt idx="76">
                  <c:v>101.16830738173576</c:v>
                </c:pt>
                <c:pt idx="77">
                  <c:v>102.17035712342155</c:v>
                </c:pt>
                <c:pt idx="78">
                  <c:v>103.1704033579057</c:v>
                </c:pt>
                <c:pt idx="79">
                  <c:v>104.17335258690134</c:v>
                </c:pt>
                <c:pt idx="80">
                  <c:v>105.16363858888479</c:v>
                </c:pt>
                <c:pt idx="81">
                  <c:v>106.16756686596661</c:v>
                </c:pt>
                <c:pt idx="82">
                  <c:v>107.16865822434492</c:v>
                </c:pt>
                <c:pt idx="83">
                  <c:v>108.1744763929813</c:v>
                </c:pt>
                <c:pt idx="84">
                  <c:v>109.17844734113586</c:v>
                </c:pt>
                <c:pt idx="85">
                  <c:v>110.16871715614494</c:v>
                </c:pt>
                <c:pt idx="86">
                  <c:v>111.18725019995632</c:v>
                </c:pt>
                <c:pt idx="87">
                  <c:v>112.18829810139952</c:v>
                </c:pt>
                <c:pt idx="88">
                  <c:v>113.19419549999822</c:v>
                </c:pt>
                <c:pt idx="89">
                  <c:v>114.20197405007322</c:v>
                </c:pt>
                <c:pt idx="90">
                  <c:v>115.17865990741502</c:v>
                </c:pt>
                <c:pt idx="91">
                  <c:v>116.18260714973631</c:v>
                </c:pt>
                <c:pt idx="92">
                  <c:v>117.18752336893284</c:v>
                </c:pt>
                <c:pt idx="93">
                  <c:v>118.18859851026276</c:v>
                </c:pt>
                <c:pt idx="94">
                  <c:v>119.19632989678172</c:v>
                </c:pt>
                <c:pt idx="95">
                  <c:v>120.18955833927056</c:v>
                </c:pt>
                <c:pt idx="96">
                  <c:v>121.19638113751338</c:v>
                </c:pt>
                <c:pt idx="97">
                  <c:v>122.19942459981884</c:v>
                </c:pt>
                <c:pt idx="98">
                  <c:v>123.20623819541656</c:v>
                </c:pt>
                <c:pt idx="99">
                  <c:v>124.21121174676256</c:v>
                </c:pt>
                <c:pt idx="100">
                  <c:v>125.19851500549566</c:v>
                </c:pt>
                <c:pt idx="101">
                  <c:v>126.20441240051412</c:v>
                </c:pt>
                <c:pt idx="102">
                  <c:v>127.20443733114701</c:v>
                </c:pt>
                <c:pt idx="103">
                  <c:v>128.20935335844274</c:v>
                </c:pt>
                <c:pt idx="104">
                  <c:v>129.21625015770951</c:v>
                </c:pt>
                <c:pt idx="105">
                  <c:v>130.20454229836992</c:v>
                </c:pt>
                <c:pt idx="106">
                  <c:v>131.21044015559718</c:v>
                </c:pt>
                <c:pt idx="107">
                  <c:v>132.21732477095424</c:v>
                </c:pt>
                <c:pt idx="108">
                  <c:v>133.21930781637673</c:v>
                </c:pt>
                <c:pt idx="109">
                  <c:v>134.22618006379983</c:v>
                </c:pt>
                <c:pt idx="110">
                  <c:v>135.21644714923508</c:v>
                </c:pt>
                <c:pt idx="111">
                  <c:v>136.22230183523027</c:v>
                </c:pt>
                <c:pt idx="112">
                  <c:v>137.22723680198774</c:v>
                </c:pt>
                <c:pt idx="113">
                  <c:v>138.23318187540053</c:v>
                </c:pt>
                <c:pt idx="114">
                  <c:v>139.23910181052662</c:v>
                </c:pt>
                <c:pt idx="115">
                  <c:v>140.22831179867603</c:v>
                </c:pt>
                <c:pt idx="116">
                  <c:v>141.23227994242978</c:v>
                </c:pt>
                <c:pt idx="117">
                  <c:v>142.2323249249045</c:v>
                </c:pt>
                <c:pt idx="118">
                  <c:v>143.23818714837583</c:v>
                </c:pt>
                <c:pt idx="119">
                  <c:v>144.24417280271811</c:v>
                </c:pt>
                <c:pt idx="120">
                  <c:v>145.23529253162246</c:v>
                </c:pt>
                <c:pt idx="121">
                  <c:v>146.25002848795788</c:v>
                </c:pt>
                <c:pt idx="122">
                  <c:v>147.25113551883027</c:v>
                </c:pt>
                <c:pt idx="123">
                  <c:v>148.25700720057569</c:v>
                </c:pt>
                <c:pt idx="124">
                  <c:v>149.26381774366209</c:v>
                </c:pt>
                <c:pt idx="125">
                  <c:v>150.23848665036465</c:v>
                </c:pt>
                <c:pt idx="126">
                  <c:v>151.24237575569884</c:v>
                </c:pt>
                <c:pt idx="127">
                  <c:v>152.24631316382099</c:v>
                </c:pt>
                <c:pt idx="128">
                  <c:v>153.25029096132985</c:v>
                </c:pt>
                <c:pt idx="129">
                  <c:v>154.25517639978375</c:v>
                </c:pt>
                <c:pt idx="130">
                  <c:v>155.24443853625527</c:v>
                </c:pt>
                <c:pt idx="131">
                  <c:v>156.2484414305201</c:v>
                </c:pt>
                <c:pt idx="132">
                  <c:v>157.25039477034559</c:v>
                </c:pt>
                <c:pt idx="133">
                  <c:v>158.2562909545274</c:v>
                </c:pt>
                <c:pt idx="134">
                  <c:v>159.2592215866901</c:v>
                </c:pt>
                <c:pt idx="135">
                  <c:v>160.2514669515343</c:v>
                </c:pt>
                <c:pt idx="136">
                  <c:v>161.25832051548275</c:v>
                </c:pt>
                <c:pt idx="137">
                  <c:v>162.26030547418469</c:v>
                </c:pt>
                <c:pt idx="138">
                  <c:v>163.26628991804833</c:v>
                </c:pt>
                <c:pt idx="139">
                  <c:v>164.27610361747298</c:v>
                </c:pt>
                <c:pt idx="140">
                  <c:v>165.26533198083857</c:v>
                </c:pt>
                <c:pt idx="141">
                  <c:v>166.27319326807751</c:v>
                </c:pt>
                <c:pt idx="142">
                  <c:v>167.27723220245531</c:v>
                </c:pt>
                <c:pt idx="143">
                  <c:v>168.28204248597442</c:v>
                </c:pt>
                <c:pt idx="144">
                  <c:v>169.28305634364563</c:v>
                </c:pt>
                <c:pt idx="145">
                  <c:v>170.27333026733643</c:v>
                </c:pt>
                <c:pt idx="146">
                  <c:v>171.27629130037843</c:v>
                </c:pt>
                <c:pt idx="147">
                  <c:v>172.28124848036776</c:v>
                </c:pt>
                <c:pt idx="148">
                  <c:v>173.28907592325402</c:v>
                </c:pt>
                <c:pt idx="149">
                  <c:v>174.2929763929813</c:v>
                </c:pt>
                <c:pt idx="150">
                  <c:v>175.28524015953542</c:v>
                </c:pt>
                <c:pt idx="151">
                  <c:v>176.29304420842718</c:v>
                </c:pt>
                <c:pt idx="152">
                  <c:v>177.29799931331024</c:v>
                </c:pt>
                <c:pt idx="153">
                  <c:v>178.3029037585344</c:v>
                </c:pt>
                <c:pt idx="154">
                  <c:v>179.30984197328425</c:v>
                </c:pt>
                <c:pt idx="155">
                  <c:v>180.30298125422911</c:v>
                </c:pt>
                <c:pt idx="156">
                  <c:v>181.31961708310808</c:v>
                </c:pt>
                <c:pt idx="157">
                  <c:v>182.32262906903057</c:v>
                </c:pt>
                <c:pt idx="158">
                  <c:v>183.33237401928315</c:v>
                </c:pt>
                <c:pt idx="159">
                  <c:v>184.33635219629733</c:v>
                </c:pt>
                <c:pt idx="160">
                  <c:v>185.30802081514872</c:v>
                </c:pt>
                <c:pt idx="161">
                  <c:v>186.32660389852171</c:v>
                </c:pt>
                <c:pt idx="162">
                  <c:v>187.32960734342723</c:v>
                </c:pt>
                <c:pt idx="163">
                  <c:v>188.33453595669343</c:v>
                </c:pt>
                <c:pt idx="164">
                  <c:v>189.34138682543829</c:v>
                </c:pt>
                <c:pt idx="165">
                  <c:v>190.31308375896404</c:v>
                </c:pt>
                <c:pt idx="166">
                  <c:v>191.32393235354141</c:v>
                </c:pt>
                <c:pt idx="167">
                  <c:v>192.32785242400047</c:v>
                </c:pt>
                <c:pt idx="168">
                  <c:v>193.33181784963716</c:v>
                </c:pt>
                <c:pt idx="169">
                  <c:v>194.33674426785913</c:v>
                </c:pt>
                <c:pt idx="170">
                  <c:v>195.32500854137501</c:v>
                </c:pt>
                <c:pt idx="171">
                  <c:v>196.32893963001817</c:v>
                </c:pt>
                <c:pt idx="172">
                  <c:v>197.33189715943877</c:v>
                </c:pt>
                <c:pt idx="173">
                  <c:v>198.33492098700015</c:v>
                </c:pt>
                <c:pt idx="174">
                  <c:v>199.34270512332137</c:v>
                </c:pt>
                <c:pt idx="175">
                  <c:v>200.33297887050631</c:v>
                </c:pt>
                <c:pt idx="176">
                  <c:v>201.33889656511911</c:v>
                </c:pt>
                <c:pt idx="177">
                  <c:v>202.3428320259496</c:v>
                </c:pt>
                <c:pt idx="178">
                  <c:v>203.34967528955175</c:v>
                </c:pt>
                <c:pt idx="179">
                  <c:v>204.35850805768479</c:v>
                </c:pt>
                <c:pt idx="180">
                  <c:v>205.34880937127431</c:v>
                </c:pt>
                <c:pt idx="181">
                  <c:v>206.35569788479509</c:v>
                </c:pt>
              </c:numCache>
            </c:numRef>
          </c:xVal>
          <c:yVal>
            <c:numRef>
              <c:f>'Channel_1-001'!$H$2:$H$183</c:f>
              <c:numCache>
                <c:formatCode>General</c:formatCode>
                <c:ptCount val="182"/>
                <c:pt idx="0">
                  <c:v>0.92052417993545532</c:v>
                </c:pt>
                <c:pt idx="1">
                  <c:v>0.92052417993545532</c:v>
                </c:pt>
                <c:pt idx="2">
                  <c:v>0.91990894079208374</c:v>
                </c:pt>
                <c:pt idx="3">
                  <c:v>0.92021656036376953</c:v>
                </c:pt>
                <c:pt idx="4">
                  <c:v>0.92021656036376953</c:v>
                </c:pt>
                <c:pt idx="5">
                  <c:v>0.91990894079208374</c:v>
                </c:pt>
                <c:pt idx="6">
                  <c:v>0.86238056421279907</c:v>
                </c:pt>
                <c:pt idx="7">
                  <c:v>0.86207294464111328</c:v>
                </c:pt>
                <c:pt idx="8">
                  <c:v>0.86207294464111328</c:v>
                </c:pt>
                <c:pt idx="9">
                  <c:v>0.86238056421279907</c:v>
                </c:pt>
                <c:pt idx="10">
                  <c:v>0.86268824338912964</c:v>
                </c:pt>
                <c:pt idx="11">
                  <c:v>0.82823276519775391</c:v>
                </c:pt>
                <c:pt idx="12">
                  <c:v>0.82915568351745605</c:v>
                </c:pt>
                <c:pt idx="13">
                  <c:v>0.82977098226547241</c:v>
                </c:pt>
                <c:pt idx="14">
                  <c:v>0.83038622140884399</c:v>
                </c:pt>
                <c:pt idx="15">
                  <c:v>0.83069384098052979</c:v>
                </c:pt>
                <c:pt idx="16">
                  <c:v>0.81038975715637207</c:v>
                </c:pt>
                <c:pt idx="17">
                  <c:v>0.81131267547607422</c:v>
                </c:pt>
                <c:pt idx="18">
                  <c:v>0.81162029504776001</c:v>
                </c:pt>
                <c:pt idx="19">
                  <c:v>0.81223559379577637</c:v>
                </c:pt>
                <c:pt idx="20">
                  <c:v>0.81254321336746216</c:v>
                </c:pt>
                <c:pt idx="21">
                  <c:v>0.79562312364578247</c:v>
                </c:pt>
                <c:pt idx="22">
                  <c:v>0.79654604196548462</c:v>
                </c:pt>
                <c:pt idx="23">
                  <c:v>0.79654604196548462</c:v>
                </c:pt>
                <c:pt idx="24">
                  <c:v>0.79716134071350098</c:v>
                </c:pt>
                <c:pt idx="25">
                  <c:v>0.79746896028518677</c:v>
                </c:pt>
                <c:pt idx="26">
                  <c:v>0.78331762552261353</c:v>
                </c:pt>
                <c:pt idx="27">
                  <c:v>0.78362524509429932</c:v>
                </c:pt>
                <c:pt idx="28">
                  <c:v>0.78454816341400146</c:v>
                </c:pt>
                <c:pt idx="29">
                  <c:v>0.78454816341400146</c:v>
                </c:pt>
                <c:pt idx="30">
                  <c:v>0.78454816341400146</c:v>
                </c:pt>
                <c:pt idx="31">
                  <c:v>0.77224260568618774</c:v>
                </c:pt>
                <c:pt idx="32">
                  <c:v>0.77224260568618774</c:v>
                </c:pt>
                <c:pt idx="33">
                  <c:v>0.7728579044342041</c:v>
                </c:pt>
                <c:pt idx="34">
                  <c:v>0.77316552400588989</c:v>
                </c:pt>
                <c:pt idx="35">
                  <c:v>0.77316552400588989</c:v>
                </c:pt>
                <c:pt idx="36">
                  <c:v>0.7617829442024231</c:v>
                </c:pt>
                <c:pt idx="37">
                  <c:v>0.76209056377410889</c:v>
                </c:pt>
                <c:pt idx="38">
                  <c:v>0.76209056377410889</c:v>
                </c:pt>
                <c:pt idx="39">
                  <c:v>0.76239824295043945</c:v>
                </c:pt>
                <c:pt idx="40">
                  <c:v>0.76270586252212524</c:v>
                </c:pt>
                <c:pt idx="41">
                  <c:v>0.75193852186203003</c:v>
                </c:pt>
                <c:pt idx="42">
                  <c:v>0.75224614143371582</c:v>
                </c:pt>
                <c:pt idx="43">
                  <c:v>0.75255382061004639</c:v>
                </c:pt>
                <c:pt idx="44">
                  <c:v>0.75255382061004639</c:v>
                </c:pt>
                <c:pt idx="45">
                  <c:v>0.75286144018173218</c:v>
                </c:pt>
                <c:pt idx="46">
                  <c:v>0.74301701784133911</c:v>
                </c:pt>
                <c:pt idx="47">
                  <c:v>0.74270939826965332</c:v>
                </c:pt>
                <c:pt idx="48">
                  <c:v>0.7433246374130249</c:v>
                </c:pt>
                <c:pt idx="49">
                  <c:v>0.74363231658935547</c:v>
                </c:pt>
                <c:pt idx="50">
                  <c:v>0.74363231658935547</c:v>
                </c:pt>
                <c:pt idx="51">
                  <c:v>0.73409551382064819</c:v>
                </c:pt>
                <c:pt idx="52">
                  <c:v>0.73409551382064819</c:v>
                </c:pt>
                <c:pt idx="53">
                  <c:v>0.73440313339233398</c:v>
                </c:pt>
                <c:pt idx="54">
                  <c:v>0.73471081256866455</c:v>
                </c:pt>
                <c:pt idx="55">
                  <c:v>0.73501843214035034</c:v>
                </c:pt>
                <c:pt idx="56">
                  <c:v>0.72578930854797363</c:v>
                </c:pt>
                <c:pt idx="57">
                  <c:v>0.72578930854797363</c:v>
                </c:pt>
                <c:pt idx="58">
                  <c:v>0.72609692811965942</c:v>
                </c:pt>
                <c:pt idx="59">
                  <c:v>0.72640454769134521</c:v>
                </c:pt>
                <c:pt idx="60">
                  <c:v>0.72609692811965942</c:v>
                </c:pt>
                <c:pt idx="61">
                  <c:v>0.7174830436706543</c:v>
                </c:pt>
                <c:pt idx="62">
                  <c:v>0.7174830436706543</c:v>
                </c:pt>
                <c:pt idx="63">
                  <c:v>0.7174830436706543</c:v>
                </c:pt>
                <c:pt idx="64">
                  <c:v>0.7174830436706543</c:v>
                </c:pt>
                <c:pt idx="65">
                  <c:v>0.71779072284698486</c:v>
                </c:pt>
                <c:pt idx="66">
                  <c:v>0.70917683839797974</c:v>
                </c:pt>
                <c:pt idx="67">
                  <c:v>0.70948445796966553</c:v>
                </c:pt>
                <c:pt idx="68">
                  <c:v>0.70948445796966553</c:v>
                </c:pt>
                <c:pt idx="69">
                  <c:v>0.70979207754135132</c:v>
                </c:pt>
                <c:pt idx="70">
                  <c:v>0.70948445796966553</c:v>
                </c:pt>
                <c:pt idx="71">
                  <c:v>0.70117825269699097</c:v>
                </c:pt>
                <c:pt idx="72">
                  <c:v>0.70148587226867676</c:v>
                </c:pt>
                <c:pt idx="73">
                  <c:v>0.70179349184036255</c:v>
                </c:pt>
                <c:pt idx="74">
                  <c:v>0.70148587226867676</c:v>
                </c:pt>
                <c:pt idx="75">
                  <c:v>0.70148587226867676</c:v>
                </c:pt>
                <c:pt idx="76">
                  <c:v>0.6931796669960022</c:v>
                </c:pt>
                <c:pt idx="77">
                  <c:v>0.69287198781967163</c:v>
                </c:pt>
                <c:pt idx="78">
                  <c:v>0.69348728656768799</c:v>
                </c:pt>
                <c:pt idx="79">
                  <c:v>0.69348728656768799</c:v>
                </c:pt>
                <c:pt idx="80">
                  <c:v>0.69348728656768799</c:v>
                </c:pt>
                <c:pt idx="81">
                  <c:v>0.68548870086669922</c:v>
                </c:pt>
                <c:pt idx="82">
                  <c:v>0.68548870086669922</c:v>
                </c:pt>
                <c:pt idx="83">
                  <c:v>0.68548870086669922</c:v>
                </c:pt>
                <c:pt idx="84">
                  <c:v>0.68548870086669922</c:v>
                </c:pt>
                <c:pt idx="85">
                  <c:v>0.68579632043838501</c:v>
                </c:pt>
                <c:pt idx="86">
                  <c:v>0.67749011516571045</c:v>
                </c:pt>
                <c:pt idx="87">
                  <c:v>0.67779773473739624</c:v>
                </c:pt>
                <c:pt idx="88">
                  <c:v>0.67779773473739624</c:v>
                </c:pt>
                <c:pt idx="89">
                  <c:v>0.67779773473739624</c:v>
                </c:pt>
                <c:pt idx="90">
                  <c:v>0.67810535430908203</c:v>
                </c:pt>
                <c:pt idx="91">
                  <c:v>0.67010676860809326</c:v>
                </c:pt>
                <c:pt idx="92">
                  <c:v>0.66979914903640747</c:v>
                </c:pt>
                <c:pt idx="93">
                  <c:v>0.67010676860809326</c:v>
                </c:pt>
                <c:pt idx="94">
                  <c:v>0.67041444778442383</c:v>
                </c:pt>
                <c:pt idx="95">
                  <c:v>0.67041444778442383</c:v>
                </c:pt>
                <c:pt idx="96">
                  <c:v>0.66241586208343506</c:v>
                </c:pt>
                <c:pt idx="97">
                  <c:v>0.66241586208343506</c:v>
                </c:pt>
                <c:pt idx="98">
                  <c:v>0.66272348165512085</c:v>
                </c:pt>
                <c:pt idx="99">
                  <c:v>0.66241586208343506</c:v>
                </c:pt>
                <c:pt idx="100">
                  <c:v>0.66272348165512085</c:v>
                </c:pt>
                <c:pt idx="101">
                  <c:v>0.65503251552581787</c:v>
                </c:pt>
                <c:pt idx="102">
                  <c:v>0.65503251552581787</c:v>
                </c:pt>
                <c:pt idx="103">
                  <c:v>0.65472489595413208</c:v>
                </c:pt>
                <c:pt idx="104">
                  <c:v>0.65503251552581787</c:v>
                </c:pt>
                <c:pt idx="105">
                  <c:v>0.65472489595413208</c:v>
                </c:pt>
                <c:pt idx="106">
                  <c:v>0.62519162893295288</c:v>
                </c:pt>
                <c:pt idx="107">
                  <c:v>0.62488400936126709</c:v>
                </c:pt>
                <c:pt idx="108">
                  <c:v>0.62488400936126709</c:v>
                </c:pt>
                <c:pt idx="109">
                  <c:v>0.62426871061325073</c:v>
                </c:pt>
                <c:pt idx="110">
                  <c:v>0.62488400936126709</c:v>
                </c:pt>
                <c:pt idx="111">
                  <c:v>0.59596604108810425</c:v>
                </c:pt>
                <c:pt idx="112">
                  <c:v>0.59535074234008789</c:v>
                </c:pt>
                <c:pt idx="113">
                  <c:v>0.59596604108810425</c:v>
                </c:pt>
                <c:pt idx="114">
                  <c:v>0.59565836191177368</c:v>
                </c:pt>
                <c:pt idx="115">
                  <c:v>0.59535074234008789</c:v>
                </c:pt>
                <c:pt idx="116">
                  <c:v>0.56674039363861084</c:v>
                </c:pt>
                <c:pt idx="117">
                  <c:v>0.56674039363861084</c:v>
                </c:pt>
                <c:pt idx="118">
                  <c:v>0.56704801321029663</c:v>
                </c:pt>
                <c:pt idx="119">
                  <c:v>0.56674039363861084</c:v>
                </c:pt>
                <c:pt idx="120">
                  <c:v>0.56643277406692505</c:v>
                </c:pt>
                <c:pt idx="121">
                  <c:v>0.53751480579376221</c:v>
                </c:pt>
                <c:pt idx="122">
                  <c:v>0.53720712661743164</c:v>
                </c:pt>
                <c:pt idx="123">
                  <c:v>0.53720712661743164</c:v>
                </c:pt>
                <c:pt idx="124">
                  <c:v>0.53689950704574585</c:v>
                </c:pt>
                <c:pt idx="125">
                  <c:v>0.53659188747406006</c:v>
                </c:pt>
                <c:pt idx="126">
                  <c:v>0.50859677791595459</c:v>
                </c:pt>
                <c:pt idx="127">
                  <c:v>0.5082891583442688</c:v>
                </c:pt>
                <c:pt idx="128">
                  <c:v>0.5082891583442688</c:v>
                </c:pt>
                <c:pt idx="129">
                  <c:v>0.50767385959625244</c:v>
                </c:pt>
                <c:pt idx="130">
                  <c:v>0.50705862045288086</c:v>
                </c:pt>
                <c:pt idx="131">
                  <c:v>0.47998648881912231</c:v>
                </c:pt>
                <c:pt idx="132">
                  <c:v>0.47906357049942017</c:v>
                </c:pt>
                <c:pt idx="133">
                  <c:v>0.4784483015537262</c:v>
                </c:pt>
                <c:pt idx="134">
                  <c:v>0.47814065217971802</c:v>
                </c:pt>
                <c:pt idx="135">
                  <c:v>0.47783303260803223</c:v>
                </c:pt>
                <c:pt idx="136">
                  <c:v>0.45045322179794312</c:v>
                </c:pt>
                <c:pt idx="137">
                  <c:v>0.45014560222625732</c:v>
                </c:pt>
                <c:pt idx="138">
                  <c:v>0.44922268390655518</c:v>
                </c:pt>
                <c:pt idx="139">
                  <c:v>0.44860741496086121</c:v>
                </c:pt>
                <c:pt idx="140">
                  <c:v>0.44829976558685303</c:v>
                </c:pt>
                <c:pt idx="141">
                  <c:v>0.4209199845790863</c:v>
                </c:pt>
                <c:pt idx="142">
                  <c:v>0.41999706625938416</c:v>
                </c:pt>
                <c:pt idx="143">
                  <c:v>0.41999706625938416</c:v>
                </c:pt>
                <c:pt idx="144">
                  <c:v>0.41907414793968201</c:v>
                </c:pt>
                <c:pt idx="145">
                  <c:v>0.41876649856567383</c:v>
                </c:pt>
                <c:pt idx="146">
                  <c:v>0.39077144861221313</c:v>
                </c:pt>
                <c:pt idx="147">
                  <c:v>0.39046379923820496</c:v>
                </c:pt>
                <c:pt idx="148">
                  <c:v>0.38954088091850281</c:v>
                </c:pt>
                <c:pt idx="149">
                  <c:v>0.38923326134681702</c:v>
                </c:pt>
                <c:pt idx="150">
                  <c:v>0.38861796259880066</c:v>
                </c:pt>
                <c:pt idx="151">
                  <c:v>0.36123818159103394</c:v>
                </c:pt>
                <c:pt idx="152">
                  <c:v>0.36031526327133179</c:v>
                </c:pt>
                <c:pt idx="153">
                  <c:v>0.360007643699646</c:v>
                </c:pt>
                <c:pt idx="154">
                  <c:v>0.35877707600593567</c:v>
                </c:pt>
                <c:pt idx="155">
                  <c:v>0.35877707600593567</c:v>
                </c:pt>
                <c:pt idx="156">
                  <c:v>0.33108964562416077</c:v>
                </c:pt>
                <c:pt idx="157">
                  <c:v>0.3304743766784668</c:v>
                </c:pt>
                <c:pt idx="158">
                  <c:v>0.32924383878707886</c:v>
                </c:pt>
                <c:pt idx="159">
                  <c:v>0.32893618941307068</c:v>
                </c:pt>
                <c:pt idx="160">
                  <c:v>0.3286285400390625</c:v>
                </c:pt>
                <c:pt idx="161">
                  <c:v>0.3009411096572876</c:v>
                </c:pt>
                <c:pt idx="162">
                  <c:v>0.30001822113990784</c:v>
                </c:pt>
                <c:pt idx="163">
                  <c:v>0.29940292239189148</c:v>
                </c:pt>
                <c:pt idx="164">
                  <c:v>0.29878765344619751</c:v>
                </c:pt>
                <c:pt idx="165">
                  <c:v>0.29817238450050354</c:v>
                </c:pt>
                <c:pt idx="166">
                  <c:v>0.27048495411872864</c:v>
                </c:pt>
                <c:pt idx="167">
                  <c:v>0.26925438642501831</c:v>
                </c:pt>
                <c:pt idx="168">
                  <c:v>0.26894676685333252</c:v>
                </c:pt>
                <c:pt idx="169">
                  <c:v>0.26802384853363037</c:v>
                </c:pt>
                <c:pt idx="170">
                  <c:v>0.26771619915962219</c:v>
                </c:pt>
                <c:pt idx="171">
                  <c:v>0.24002876877784729</c:v>
                </c:pt>
                <c:pt idx="172">
                  <c:v>0.23910585045814514</c:v>
                </c:pt>
                <c:pt idx="173">
                  <c:v>0.23849058151245117</c:v>
                </c:pt>
                <c:pt idx="174">
                  <c:v>0.23756766319274902</c:v>
                </c:pt>
                <c:pt idx="175">
                  <c:v>0.23695237934589386</c:v>
                </c:pt>
                <c:pt idx="176">
                  <c:v>0.20864968001842499</c:v>
                </c:pt>
                <c:pt idx="177">
                  <c:v>0.20803441107273102</c:v>
                </c:pt>
                <c:pt idx="178">
                  <c:v>0.20711149275302887</c:v>
                </c:pt>
                <c:pt idx="179">
                  <c:v>0.20618857443332672</c:v>
                </c:pt>
                <c:pt idx="180">
                  <c:v>0.20557330548763275</c:v>
                </c:pt>
                <c:pt idx="181">
                  <c:v>0.1769629567861557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AF-4AB9-9B3C-5DD9377D2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836736"/>
        <c:axId val="261479040"/>
      </c:scatterChart>
      <c:valAx>
        <c:axId val="26147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Test_Time(s)</a:t>
                </a:r>
                <a:endParaRPr altLang="en-US"/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1472256"/>
        <c:crosses val="autoZero"/>
        <c:crossBetween val="midCat"/>
        <c:minorUnit val="1"/>
      </c:valAx>
      <c:valAx>
        <c:axId val="2614722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Current(A)</a:t>
                </a:r>
                <a:endParaRPr altLang="en-US"/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1474944"/>
        <c:crosses val="autoZero"/>
        <c:crossBetween val="midCat"/>
      </c:valAx>
      <c:valAx>
        <c:axId val="2614790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Voltage(V)</a:t>
                </a:r>
                <a:endParaRPr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6836736"/>
        <c:crosses val="max"/>
        <c:crossBetween val="midCat"/>
      </c:valAx>
      <c:valAx>
        <c:axId val="256836736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26147904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9966859983429992"/>
          <c:y val="0.5"/>
          <c:w val="3.3140016570008283E-3"/>
          <c:h val="0.107982604416295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1"/>
  <sheetViews>
    <sheetView zoomScale="76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7340" cy="5608320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7734375" defaultRowHeight="14.4" x14ac:dyDescent="0.25"/>
  <cols>
    <col min="1" max="1" width="7.77734375" style="2" customWidth="1"/>
    <col min="2" max="2" width="15.77734375" style="2" customWidth="1"/>
    <col min="3" max="4" width="18.77734375" style="2" customWidth="1"/>
    <col min="5" max="5" width="20.109375" style="2" customWidth="1"/>
    <col min="6" max="7" width="10" style="1" customWidth="1"/>
    <col min="8" max="12" width="5.44140625" style="1" customWidth="1"/>
    <col min="13" max="18" width="8.88671875" style="1" customWidth="1"/>
    <col min="19" max="20" width="11.77734375" style="1"/>
    <col min="21" max="22" width="6.44140625" style="1" customWidth="1"/>
    <col min="23" max="16384" width="11.77734375" style="1"/>
  </cols>
  <sheetData>
    <row r="1" spans="1:22" ht="18" x14ac:dyDescent="0.25">
      <c r="D1" s="4" t="s">
        <v>0</v>
      </c>
    </row>
    <row r="2" spans="1:22" x14ac:dyDescent="0.25">
      <c r="D2" s="3" t="s">
        <v>28</v>
      </c>
      <c r="L2" s="1" t="s">
        <v>1</v>
      </c>
    </row>
    <row r="3" spans="1:22" x14ac:dyDescent="0.25">
      <c r="D3" s="5">
        <v>44791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2" s="7" customFormat="1" ht="57.6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</row>
    <row r="5" spans="1:22" x14ac:dyDescent="0.25">
      <c r="A5" s="15" t="s">
        <v>29</v>
      </c>
      <c r="B5" s="16">
        <v>44791.576388888891</v>
      </c>
      <c r="C5" s="2" t="s">
        <v>30</v>
      </c>
      <c r="F5" s="1">
        <v>1</v>
      </c>
      <c r="G5" s="2"/>
      <c r="H5" s="1">
        <v>8</v>
      </c>
      <c r="I5" s="1">
        <v>13</v>
      </c>
      <c r="J5" s="1">
        <v>2</v>
      </c>
      <c r="K5" s="1">
        <v>0</v>
      </c>
      <c r="L5" s="1">
        <v>2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22</v>
      </c>
      <c r="V5" s="1">
        <v>20</v>
      </c>
    </row>
  </sheetData>
  <phoneticPr fontId="1" type="noConversion"/>
  <printOptions headings="1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8" sqref="J8:J183"/>
    </sheetView>
  </sheetViews>
  <sheetFormatPr defaultColWidth="11.77734375" defaultRowHeight="14.4" x14ac:dyDescent="0.25"/>
  <cols>
    <col min="1" max="1" width="11.77734375" style="3"/>
    <col min="2" max="2" width="11.77734375" style="23"/>
    <col min="3" max="3" width="16.33203125" style="18" customWidth="1"/>
    <col min="4" max="4" width="11.77734375" style="23"/>
    <col min="5" max="5" width="11.77734375" style="19"/>
    <col min="6" max="6" width="11.77734375" style="17"/>
    <col min="7" max="7" width="11.77734375" style="19"/>
    <col min="8" max="10" width="11.77734375" style="17"/>
    <col min="11" max="11" width="11.77734375" style="19"/>
    <col min="12" max="12" width="11.77734375" style="17"/>
    <col min="13" max="13" width="11.77734375" style="19"/>
    <col min="14" max="14" width="11.77734375" style="17"/>
    <col min="15" max="15" width="11.77734375" style="19"/>
    <col min="16" max="16" width="11.77734375" style="17"/>
    <col min="17" max="17" width="11.77734375" style="19"/>
    <col min="18" max="18" width="11.77734375" style="17"/>
    <col min="19" max="19" width="11.77734375" style="19"/>
    <col min="20" max="16384" width="11.77734375" style="1"/>
  </cols>
  <sheetData>
    <row r="1" spans="1:19" s="20" customFormat="1" ht="24.45" customHeight="1" x14ac:dyDescent="0.25">
      <c r="A1" s="20" t="s">
        <v>31</v>
      </c>
      <c r="B1" s="22" t="s">
        <v>32</v>
      </c>
      <c r="C1" s="21" t="s">
        <v>33</v>
      </c>
      <c r="D1" s="22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K1" s="20" t="s">
        <v>39</v>
      </c>
      <c r="L1" s="20" t="s">
        <v>22</v>
      </c>
      <c r="M1" s="20" t="s">
        <v>40</v>
      </c>
      <c r="N1" s="20" t="s">
        <v>41</v>
      </c>
      <c r="O1" s="20" t="s">
        <v>42</v>
      </c>
      <c r="P1" s="20" t="s">
        <v>21</v>
      </c>
      <c r="Q1" s="20" t="s">
        <v>43</v>
      </c>
      <c r="R1" s="20" t="s">
        <v>44</v>
      </c>
      <c r="S1" s="20" t="s">
        <v>45</v>
      </c>
    </row>
    <row r="2" spans="1:19" x14ac:dyDescent="0.25">
      <c r="A2" s="3">
        <v>1</v>
      </c>
      <c r="B2" s="23">
        <v>5.0126518665573503</v>
      </c>
      <c r="C2" s="18">
        <v>44791.57644675926</v>
      </c>
      <c r="D2" s="23">
        <v>5.0126521898528882</v>
      </c>
      <c r="E2" s="19">
        <v>1</v>
      </c>
      <c r="F2" s="17">
        <v>1</v>
      </c>
      <c r="G2" s="19">
        <v>0</v>
      </c>
      <c r="H2" s="17">
        <v>0.92052417993545532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  <c r="R2" s="17">
        <v>0</v>
      </c>
      <c r="S2" s="19">
        <v>0</v>
      </c>
    </row>
    <row r="3" spans="1:19" x14ac:dyDescent="0.25">
      <c r="A3" s="3">
        <v>2</v>
      </c>
      <c r="B3" s="23">
        <v>10.025530445990311</v>
      </c>
      <c r="C3" s="18">
        <v>44791.576504629629</v>
      </c>
      <c r="D3" s="23">
        <v>10.025530769285847</v>
      </c>
      <c r="E3" s="19">
        <v>1</v>
      </c>
      <c r="F3" s="17">
        <v>1</v>
      </c>
      <c r="G3" s="19">
        <v>0</v>
      </c>
      <c r="H3" s="17">
        <v>0.92052417993545532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  <c r="R3" s="17">
        <v>0</v>
      </c>
      <c r="S3" s="19">
        <v>0</v>
      </c>
    </row>
    <row r="4" spans="1:19" x14ac:dyDescent="0.25">
      <c r="A4" s="3">
        <v>3</v>
      </c>
      <c r="B4" s="23">
        <v>15.031641104002349</v>
      </c>
      <c r="C4" s="18">
        <v>44791.576574074075</v>
      </c>
      <c r="D4" s="23">
        <v>15.031641427297886</v>
      </c>
      <c r="E4" s="19">
        <v>1</v>
      </c>
      <c r="F4" s="17">
        <v>1</v>
      </c>
      <c r="G4" s="19">
        <v>0</v>
      </c>
      <c r="H4" s="17">
        <v>0.91990894079208374</v>
      </c>
      <c r="K4" s="19">
        <v>0</v>
      </c>
      <c r="L4" s="17">
        <v>0</v>
      </c>
      <c r="M4" s="19">
        <v>0</v>
      </c>
      <c r="N4" s="17">
        <v>0</v>
      </c>
      <c r="O4" s="19">
        <v>-1.2304782285355031E-4</v>
      </c>
      <c r="P4" s="17">
        <v>0</v>
      </c>
      <c r="Q4" s="19">
        <v>0</v>
      </c>
      <c r="R4" s="17">
        <v>0</v>
      </c>
      <c r="S4" s="19">
        <v>0</v>
      </c>
    </row>
    <row r="5" spans="1:19" x14ac:dyDescent="0.25">
      <c r="A5" s="3">
        <v>4</v>
      </c>
      <c r="B5" s="23">
        <v>20.045382450028821</v>
      </c>
      <c r="C5" s="18">
        <v>44791.576631944445</v>
      </c>
      <c r="D5" s="23">
        <v>20.045382777262621</v>
      </c>
      <c r="E5" s="19">
        <v>1</v>
      </c>
      <c r="F5" s="17">
        <v>1</v>
      </c>
      <c r="G5" s="19">
        <v>0</v>
      </c>
      <c r="H5" s="17">
        <v>0.92021656036376953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  <c r="R5" s="17">
        <v>0</v>
      </c>
      <c r="S5" s="19">
        <v>0</v>
      </c>
    </row>
    <row r="6" spans="1:19" x14ac:dyDescent="0.25">
      <c r="A6" s="3">
        <v>5</v>
      </c>
      <c r="B6" s="23">
        <v>25.05533156230868</v>
      </c>
      <c r="C6" s="18">
        <v>44791.576689814814</v>
      </c>
      <c r="D6" s="23">
        <v>25.055331889184455</v>
      </c>
      <c r="E6" s="19">
        <v>1</v>
      </c>
      <c r="F6" s="17">
        <v>1</v>
      </c>
      <c r="G6" s="19">
        <v>0</v>
      </c>
      <c r="H6" s="17">
        <v>0.92021656036376953</v>
      </c>
      <c r="K6" s="19">
        <v>0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  <c r="R6" s="17">
        <v>0</v>
      </c>
      <c r="S6" s="19">
        <v>0</v>
      </c>
    </row>
    <row r="7" spans="1:19" x14ac:dyDescent="0.25">
      <c r="A7" s="3">
        <v>6</v>
      </c>
      <c r="B7" s="23">
        <v>30.00281971315129</v>
      </c>
      <c r="C7" s="18">
        <v>44791.576736111114</v>
      </c>
      <c r="D7" s="23">
        <v>30.002820036446828</v>
      </c>
      <c r="E7" s="19">
        <v>1</v>
      </c>
      <c r="F7" s="17">
        <v>1</v>
      </c>
      <c r="G7" s="19">
        <v>0</v>
      </c>
      <c r="H7" s="17">
        <v>0.91990894079208374</v>
      </c>
      <c r="K7" s="19">
        <v>0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  <c r="R7" s="17">
        <v>0</v>
      </c>
      <c r="S7" s="19">
        <v>0</v>
      </c>
    </row>
    <row r="8" spans="1:19" x14ac:dyDescent="0.25">
      <c r="A8" s="3">
        <v>7</v>
      </c>
      <c r="B8" s="23">
        <v>31.016481978869432</v>
      </c>
      <c r="C8" s="18">
        <v>44791.576747685183</v>
      </c>
      <c r="D8" s="23">
        <v>1.010477090411763</v>
      </c>
      <c r="E8" s="19">
        <v>2</v>
      </c>
      <c r="F8" s="17">
        <v>1</v>
      </c>
      <c r="G8" s="19">
        <v>-0.27514734864234924</v>
      </c>
      <c r="H8" s="17">
        <v>0.86238056421279907</v>
      </c>
      <c r="I8" s="17">
        <f>G8/6.25</f>
        <v>-4.4023575782775881E-2</v>
      </c>
      <c r="J8" s="17">
        <f>H8*I8</f>
        <v>-3.7965076122215183E-2</v>
      </c>
      <c r="K8" s="19">
        <v>0</v>
      </c>
      <c r="L8" s="17">
        <v>7.7171687592000003E-5</v>
      </c>
      <c r="M8" s="19">
        <v>0</v>
      </c>
      <c r="N8" s="17">
        <v>6.7589883666999999E-5</v>
      </c>
      <c r="O8" s="19">
        <v>-7.8755374997854233E-3</v>
      </c>
      <c r="P8" s="17">
        <v>0</v>
      </c>
      <c r="Q8" s="19">
        <v>0</v>
      </c>
      <c r="R8" s="17">
        <v>0</v>
      </c>
      <c r="S8" s="19">
        <v>0</v>
      </c>
    </row>
    <row r="9" spans="1:19" x14ac:dyDescent="0.25">
      <c r="A9" s="3">
        <v>8</v>
      </c>
      <c r="B9" s="23">
        <v>32.018423044563228</v>
      </c>
      <c r="C9" s="18">
        <v>44791.57675925926</v>
      </c>
      <c r="D9" s="23">
        <v>2.0124181561055599</v>
      </c>
      <c r="E9" s="19">
        <v>2</v>
      </c>
      <c r="F9" s="17">
        <v>1</v>
      </c>
      <c r="G9" s="19">
        <v>-0.27514734864234924</v>
      </c>
      <c r="H9" s="17">
        <v>0.86207294464111328</v>
      </c>
      <c r="I9" s="17">
        <f t="shared" ref="I9:I72" si="0">G9/6.25</f>
        <v>-4.4023575782775881E-2</v>
      </c>
      <c r="J9" s="17">
        <f t="shared" ref="J9:J72" si="1">H9*I9</f>
        <v>-3.795153360868881E-2</v>
      </c>
      <c r="K9" s="19">
        <v>0</v>
      </c>
      <c r="L9" s="17">
        <v>1.5374748636700001E-4</v>
      </c>
      <c r="M9" s="19">
        <v>0</v>
      </c>
      <c r="N9" s="17">
        <v>1.3360950131E-4</v>
      </c>
      <c r="O9" s="19">
        <v>-7.9370616003870964E-3</v>
      </c>
      <c r="P9" s="17">
        <v>0</v>
      </c>
      <c r="Q9" s="19">
        <v>0</v>
      </c>
      <c r="R9" s="17">
        <v>0</v>
      </c>
      <c r="S9" s="19">
        <v>0</v>
      </c>
    </row>
    <row r="10" spans="1:19" x14ac:dyDescent="0.25">
      <c r="A10" s="3">
        <v>9</v>
      </c>
      <c r="B10" s="23">
        <v>33.023434876535475</v>
      </c>
      <c r="C10" s="18">
        <v>44791.576770833337</v>
      </c>
      <c r="D10" s="23">
        <v>3.0174299841395431</v>
      </c>
      <c r="E10" s="19">
        <v>2</v>
      </c>
      <c r="F10" s="17">
        <v>1</v>
      </c>
      <c r="G10" s="19">
        <v>-0.27514734864234924</v>
      </c>
      <c r="H10" s="17">
        <v>0.86207294464111328</v>
      </c>
      <c r="I10" s="17">
        <f t="shared" si="0"/>
        <v>-4.4023575782775881E-2</v>
      </c>
      <c r="J10" s="17">
        <f t="shared" si="1"/>
        <v>-3.795153360868881E-2</v>
      </c>
      <c r="K10" s="19">
        <v>0</v>
      </c>
      <c r="L10" s="17">
        <v>2.30557374958E-4</v>
      </c>
      <c r="M10" s="19">
        <v>0</v>
      </c>
      <c r="N10" s="17">
        <v>1.99837044541E-4</v>
      </c>
      <c r="O10" s="19">
        <v>-1.8458366685081273E-4</v>
      </c>
      <c r="P10" s="17">
        <v>0</v>
      </c>
      <c r="Q10" s="19">
        <v>0</v>
      </c>
      <c r="R10" s="17">
        <v>0</v>
      </c>
      <c r="S10" s="19">
        <v>0</v>
      </c>
    </row>
    <row r="11" spans="1:19" x14ac:dyDescent="0.25">
      <c r="A11" s="3">
        <v>10</v>
      </c>
      <c r="B11" s="23">
        <v>34.027285092602867</v>
      </c>
      <c r="C11" s="18">
        <v>44791.576782407406</v>
      </c>
      <c r="D11" s="23">
        <v>4.0212802002069381</v>
      </c>
      <c r="E11" s="19">
        <v>2</v>
      </c>
      <c r="F11" s="17">
        <v>1</v>
      </c>
      <c r="G11" s="19">
        <v>-0.27514734864234924</v>
      </c>
      <c r="H11" s="17">
        <v>0.86238056421279907</v>
      </c>
      <c r="I11" s="17">
        <f t="shared" si="0"/>
        <v>-4.4023575782775881E-2</v>
      </c>
      <c r="J11" s="17">
        <f t="shared" si="1"/>
        <v>-3.7965076122215183E-2</v>
      </c>
      <c r="K11" s="19">
        <v>0</v>
      </c>
      <c r="L11" s="17">
        <v>3.0727833371899999E-4</v>
      </c>
      <c r="M11" s="19">
        <v>0</v>
      </c>
      <c r="N11" s="17">
        <v>2.65998399749E-4</v>
      </c>
      <c r="O11" s="19">
        <v>0</v>
      </c>
      <c r="P11" s="17">
        <v>0</v>
      </c>
      <c r="Q11" s="19">
        <v>0</v>
      </c>
      <c r="R11" s="17">
        <v>0</v>
      </c>
      <c r="S11" s="19">
        <v>0</v>
      </c>
    </row>
    <row r="12" spans="1:19" x14ac:dyDescent="0.25">
      <c r="A12" s="3">
        <v>11</v>
      </c>
      <c r="B12" s="23">
        <v>35.014681186204626</v>
      </c>
      <c r="C12" s="18">
        <v>44791.576793981483</v>
      </c>
      <c r="D12" s="23">
        <v>5.0086762938086933</v>
      </c>
      <c r="E12" s="19">
        <v>2</v>
      </c>
      <c r="F12" s="17">
        <v>1</v>
      </c>
      <c r="G12" s="19">
        <v>-0.27511316537857056</v>
      </c>
      <c r="H12" s="17">
        <v>0.86268824338912964</v>
      </c>
      <c r="I12" s="17">
        <f t="shared" si="0"/>
        <v>-4.4018106460571291E-2</v>
      </c>
      <c r="J12" s="17">
        <f t="shared" si="1"/>
        <v>-3.7973902939785947E-2</v>
      </c>
      <c r="K12" s="19">
        <v>0</v>
      </c>
      <c r="L12" s="17">
        <v>3.8274028246599998E-4</v>
      </c>
      <c r="M12" s="19">
        <v>0</v>
      </c>
      <c r="N12" s="17">
        <v>3.31091916714E-4</v>
      </c>
      <c r="O12" s="19">
        <v>6.1535836721304804E-5</v>
      </c>
      <c r="P12" s="17">
        <v>0</v>
      </c>
      <c r="Q12" s="19">
        <v>0</v>
      </c>
      <c r="R12" s="17">
        <v>0</v>
      </c>
      <c r="S12" s="19">
        <v>0</v>
      </c>
    </row>
    <row r="13" spans="1:19" x14ac:dyDescent="0.25">
      <c r="A13" s="3">
        <v>12</v>
      </c>
      <c r="B13" s="23">
        <v>36.022521895306667</v>
      </c>
      <c r="C13" s="18">
        <v>44791.576805555553</v>
      </c>
      <c r="D13" s="23">
        <v>1.0049928212637529</v>
      </c>
      <c r="E13" s="19">
        <v>3</v>
      </c>
      <c r="F13" s="17">
        <v>1</v>
      </c>
      <c r="G13" s="19">
        <v>-0.62519323825836182</v>
      </c>
      <c r="H13" s="17">
        <v>0.82823276519775391</v>
      </c>
      <c r="I13" s="17">
        <f t="shared" si="0"/>
        <v>-0.10003091812133789</v>
      </c>
      <c r="J13" s="17">
        <f t="shared" si="1"/>
        <v>-8.2848883920905794E-2</v>
      </c>
      <c r="K13" s="19">
        <v>0</v>
      </c>
      <c r="L13" s="17">
        <v>5.5338336514700005E-4</v>
      </c>
      <c r="M13" s="19">
        <v>0</v>
      </c>
      <c r="N13" s="17">
        <v>4.7271683009700001E-4</v>
      </c>
      <c r="O13" s="19">
        <v>-6.8295598030090332E-3</v>
      </c>
      <c r="P13" s="17">
        <v>0</v>
      </c>
      <c r="Q13" s="19">
        <v>0</v>
      </c>
      <c r="R13" s="17">
        <v>0</v>
      </c>
      <c r="S13" s="19">
        <v>0</v>
      </c>
    </row>
    <row r="14" spans="1:19" x14ac:dyDescent="0.25">
      <c r="A14" s="3">
        <v>13</v>
      </c>
      <c r="B14" s="23">
        <v>37.026406948526912</v>
      </c>
      <c r="C14" s="18">
        <v>44791.576817129629</v>
      </c>
      <c r="D14" s="23">
        <v>2.0088778744839981</v>
      </c>
      <c r="E14" s="19">
        <v>3</v>
      </c>
      <c r="F14" s="17">
        <v>1</v>
      </c>
      <c r="G14" s="19">
        <v>-0.62515902519226074</v>
      </c>
      <c r="H14" s="17">
        <v>0.82915568351745605</v>
      </c>
      <c r="I14" s="17">
        <f t="shared" si="0"/>
        <v>-0.10002544403076172</v>
      </c>
      <c r="J14" s="17">
        <f t="shared" si="1"/>
        <v>-8.2936665414463276E-2</v>
      </c>
      <c r="K14" s="19">
        <v>0</v>
      </c>
      <c r="L14" s="17">
        <v>7.2771265685099996E-4</v>
      </c>
      <c r="M14" s="19">
        <v>0</v>
      </c>
      <c r="N14" s="17">
        <v>6.1721808700299996E-4</v>
      </c>
      <c r="O14" s="19">
        <v>-6.6449763253331184E-3</v>
      </c>
      <c r="P14" s="17">
        <v>0</v>
      </c>
      <c r="Q14" s="19">
        <v>0</v>
      </c>
      <c r="R14" s="17">
        <v>0</v>
      </c>
      <c r="S14" s="19">
        <v>0</v>
      </c>
    </row>
    <row r="15" spans="1:19" x14ac:dyDescent="0.25">
      <c r="A15" s="3">
        <v>14</v>
      </c>
      <c r="B15" s="23">
        <v>38.030405290160431</v>
      </c>
      <c r="C15" s="18">
        <v>44791.576840277776</v>
      </c>
      <c r="D15" s="23">
        <v>3.0128762200557802</v>
      </c>
      <c r="E15" s="19">
        <v>3</v>
      </c>
      <c r="F15" s="17">
        <v>1</v>
      </c>
      <c r="G15" s="19">
        <v>-0.62519323825836182</v>
      </c>
      <c r="H15" s="17">
        <v>0.82977098226547241</v>
      </c>
      <c r="I15" s="17">
        <f t="shared" si="0"/>
        <v>-0.10003091812133789</v>
      </c>
      <c r="J15" s="17">
        <f t="shared" si="1"/>
        <v>-8.3002753186459582E-2</v>
      </c>
      <c r="K15" s="19">
        <v>0</v>
      </c>
      <c r="L15" s="17">
        <v>9.0206325210299997E-4</v>
      </c>
      <c r="M15" s="19">
        <v>0</v>
      </c>
      <c r="N15" s="17">
        <v>7.6184395866099998E-4</v>
      </c>
      <c r="O15" s="19">
        <v>2.4611951084807515E-4</v>
      </c>
      <c r="P15" s="17">
        <v>0</v>
      </c>
      <c r="Q15" s="19">
        <v>0</v>
      </c>
      <c r="R15" s="17">
        <v>0</v>
      </c>
      <c r="S15" s="19">
        <v>0</v>
      </c>
    </row>
    <row r="16" spans="1:19" x14ac:dyDescent="0.25">
      <c r="A16" s="3">
        <v>15</v>
      </c>
      <c r="B16" s="23">
        <v>39.035329072968835</v>
      </c>
      <c r="C16" s="18">
        <v>44791.576851851853</v>
      </c>
      <c r="D16" s="23">
        <v>4.0178000028641909</v>
      </c>
      <c r="E16" s="19">
        <v>3</v>
      </c>
      <c r="F16" s="17">
        <v>1</v>
      </c>
      <c r="G16" s="19">
        <v>-0.62515902519226074</v>
      </c>
      <c r="H16" s="17">
        <v>0.83038622140884399</v>
      </c>
      <c r="I16" s="17">
        <f t="shared" si="0"/>
        <v>-0.10002544403076172</v>
      </c>
      <c r="J16" s="17">
        <f t="shared" si="1"/>
        <v>-8.3059750513446037E-2</v>
      </c>
      <c r="K16" s="19">
        <v>0</v>
      </c>
      <c r="L16" s="17">
        <v>1.0765729155489999E-3</v>
      </c>
      <c r="M16" s="19">
        <v>0</v>
      </c>
      <c r="N16" s="17">
        <v>9.0669402113599995E-4</v>
      </c>
      <c r="O16" s="19">
        <v>2.4610757827758789E-4</v>
      </c>
      <c r="P16" s="17">
        <v>0</v>
      </c>
      <c r="Q16" s="19">
        <v>0</v>
      </c>
      <c r="R16" s="17">
        <v>0</v>
      </c>
      <c r="S16" s="19">
        <v>0</v>
      </c>
    </row>
    <row r="17" spans="1:19" x14ac:dyDescent="0.25">
      <c r="A17" s="3">
        <v>16</v>
      </c>
      <c r="B17" s="23">
        <v>40.027568945727168</v>
      </c>
      <c r="C17" s="18">
        <v>44791.576851851853</v>
      </c>
      <c r="D17" s="23">
        <v>5.0100398716842518</v>
      </c>
      <c r="E17" s="19">
        <v>3</v>
      </c>
      <c r="F17" s="17">
        <v>1</v>
      </c>
      <c r="G17" s="19">
        <v>-0.62515902519226074</v>
      </c>
      <c r="H17" s="17">
        <v>0.83069384098052979</v>
      </c>
      <c r="I17" s="17">
        <f t="shared" si="0"/>
        <v>-0.10002544403076172</v>
      </c>
      <c r="J17" s="17">
        <f t="shared" si="1"/>
        <v>-8.3090520297696452E-2</v>
      </c>
      <c r="K17" s="19">
        <v>0</v>
      </c>
      <c r="L17" s="17">
        <v>1.2488810673540001E-3</v>
      </c>
      <c r="M17" s="19">
        <v>0</v>
      </c>
      <c r="N17" s="17">
        <v>1.049793704095E-3</v>
      </c>
      <c r="O17" s="19">
        <v>1.845717488322407E-4</v>
      </c>
      <c r="P17" s="17">
        <v>0</v>
      </c>
      <c r="Q17" s="19">
        <v>0</v>
      </c>
      <c r="R17" s="17">
        <v>0</v>
      </c>
      <c r="S17" s="19">
        <v>0</v>
      </c>
    </row>
    <row r="18" spans="1:19" x14ac:dyDescent="0.25">
      <c r="A18" s="3">
        <v>17</v>
      </c>
      <c r="B18" s="23">
        <v>41.038284823726954</v>
      </c>
      <c r="C18" s="18">
        <v>44791.576874999999</v>
      </c>
      <c r="D18" s="23">
        <v>1.007835190880416</v>
      </c>
      <c r="E18" s="19">
        <v>4</v>
      </c>
      <c r="F18" s="17">
        <v>1</v>
      </c>
      <c r="G18" s="19">
        <v>-0.93768167495727539</v>
      </c>
      <c r="H18" s="17">
        <v>0.81038975715637207</v>
      </c>
      <c r="I18" s="17">
        <f t="shared" si="0"/>
        <v>-0.15002906799316407</v>
      </c>
      <c r="J18" s="17">
        <f t="shared" si="1"/>
        <v>-0.12158201997737707</v>
      </c>
      <c r="K18" s="19">
        <v>0</v>
      </c>
      <c r="L18" s="17">
        <v>1.509575671161E-3</v>
      </c>
      <c r="M18" s="19">
        <v>0</v>
      </c>
      <c r="N18" s="17">
        <v>1.2611388288910001E-3</v>
      </c>
      <c r="O18" s="19">
        <v>-4.0608169510960579E-3</v>
      </c>
      <c r="P18" s="17">
        <v>0</v>
      </c>
      <c r="Q18" s="19">
        <v>0</v>
      </c>
      <c r="R18" s="17">
        <v>0</v>
      </c>
      <c r="S18" s="19">
        <v>0</v>
      </c>
    </row>
    <row r="19" spans="1:19" x14ac:dyDescent="0.25">
      <c r="A19" s="3">
        <v>18</v>
      </c>
      <c r="B19" s="23">
        <v>42.044200653751552</v>
      </c>
      <c r="C19" s="18">
        <v>44791.576886574083</v>
      </c>
      <c r="D19" s="23">
        <v>2.0137510209050129</v>
      </c>
      <c r="E19" s="19">
        <v>4</v>
      </c>
      <c r="F19" s="17">
        <v>1</v>
      </c>
      <c r="G19" s="19">
        <v>-0.93768167495727539</v>
      </c>
      <c r="H19" s="17">
        <v>0.81131267547607422</v>
      </c>
      <c r="I19" s="17">
        <f t="shared" si="0"/>
        <v>-0.15002906799316407</v>
      </c>
      <c r="J19" s="17">
        <f t="shared" si="1"/>
        <v>-0.12172048455271579</v>
      </c>
      <c r="K19" s="19">
        <v>0</v>
      </c>
      <c r="L19" s="17">
        <v>1.7715811533809999E-3</v>
      </c>
      <c r="M19" s="19">
        <v>0</v>
      </c>
      <c r="N19" s="17">
        <v>1.4735402803599999E-3</v>
      </c>
      <c r="O19" s="19">
        <v>-3.8762330077588558E-3</v>
      </c>
      <c r="P19" s="17">
        <v>0</v>
      </c>
      <c r="Q19" s="19">
        <v>0</v>
      </c>
      <c r="R19" s="17">
        <v>0</v>
      </c>
      <c r="S19" s="19">
        <v>0</v>
      </c>
    </row>
    <row r="20" spans="1:19" x14ac:dyDescent="0.25">
      <c r="A20" s="3">
        <v>19</v>
      </c>
      <c r="B20" s="23">
        <v>43.051148123776009</v>
      </c>
      <c r="C20" s="18">
        <v>44791.576898148145</v>
      </c>
      <c r="D20" s="23">
        <v>3.020698494867728</v>
      </c>
      <c r="E20" s="19">
        <v>4</v>
      </c>
      <c r="F20" s="17">
        <v>1</v>
      </c>
      <c r="G20" s="19">
        <v>-0.93768167495727539</v>
      </c>
      <c r="H20" s="17">
        <v>0.81162029504776001</v>
      </c>
      <c r="I20" s="17">
        <f t="shared" si="0"/>
        <v>-0.15002906799316407</v>
      </c>
      <c r="J20" s="17">
        <f t="shared" si="1"/>
        <v>-0.12176663643035227</v>
      </c>
      <c r="K20" s="19">
        <v>0</v>
      </c>
      <c r="L20" s="17">
        <v>2.0338557813659999E-3</v>
      </c>
      <c r="M20" s="19">
        <v>0</v>
      </c>
      <c r="N20" s="17">
        <v>1.6863265042239999E-3</v>
      </c>
      <c r="O20" s="19">
        <v>2.4610757827758789E-4</v>
      </c>
      <c r="P20" s="17">
        <v>0</v>
      </c>
      <c r="Q20" s="19">
        <v>0</v>
      </c>
      <c r="R20" s="17">
        <v>0</v>
      </c>
      <c r="S20" s="19">
        <v>0</v>
      </c>
    </row>
    <row r="21" spans="1:19" x14ac:dyDescent="0.25">
      <c r="A21" s="3">
        <v>20</v>
      </c>
      <c r="B21" s="23">
        <v>44.05503910909345</v>
      </c>
      <c r="C21" s="18">
        <v>44791.576909722222</v>
      </c>
      <c r="D21" s="23">
        <v>4.0245894798271458</v>
      </c>
      <c r="E21" s="19">
        <v>4</v>
      </c>
      <c r="F21" s="17">
        <v>1</v>
      </c>
      <c r="G21" s="19">
        <v>-0.93761330842971802</v>
      </c>
      <c r="H21" s="17">
        <v>0.81223559379577637</v>
      </c>
      <c r="I21" s="17">
        <f t="shared" si="0"/>
        <v>-0.15001812934875489</v>
      </c>
      <c r="J21" s="17">
        <f t="shared" si="1"/>
        <v>-0.12185006437171751</v>
      </c>
      <c r="K21" s="19">
        <v>0</v>
      </c>
      <c r="L21" s="17">
        <v>2.2953338483700002E-3</v>
      </c>
      <c r="M21" s="19">
        <v>0</v>
      </c>
      <c r="N21" s="17">
        <v>1.898601400492E-3</v>
      </c>
      <c r="O21" s="19">
        <v>2.4610757827758789E-4</v>
      </c>
      <c r="P21" s="17">
        <v>0</v>
      </c>
      <c r="Q21" s="19">
        <v>0</v>
      </c>
      <c r="R21" s="17">
        <v>0</v>
      </c>
      <c r="S21" s="19">
        <v>0</v>
      </c>
    </row>
    <row r="22" spans="1:19" x14ac:dyDescent="0.25">
      <c r="A22" s="3">
        <v>21</v>
      </c>
      <c r="B22" s="23">
        <v>45.044324169474173</v>
      </c>
      <c r="C22" s="18">
        <v>44791.576921296299</v>
      </c>
      <c r="D22" s="23">
        <v>5.0138745366276298</v>
      </c>
      <c r="E22" s="19">
        <v>4</v>
      </c>
      <c r="F22" s="17">
        <v>1</v>
      </c>
      <c r="G22" s="19">
        <v>-0.93768167495727539</v>
      </c>
      <c r="H22" s="17">
        <v>0.81254321336746216</v>
      </c>
      <c r="I22" s="17">
        <f t="shared" si="0"/>
        <v>-0.15002906799316407</v>
      </c>
      <c r="J22" s="17">
        <f t="shared" si="1"/>
        <v>-0.12190510100569099</v>
      </c>
      <c r="K22" s="19">
        <v>0</v>
      </c>
      <c r="L22" s="17">
        <v>2.553008156254E-3</v>
      </c>
      <c r="M22" s="19">
        <v>0</v>
      </c>
      <c r="N22" s="17">
        <v>2.1079093543120001E-3</v>
      </c>
      <c r="O22" s="19">
        <v>1.8458366685081273E-4</v>
      </c>
      <c r="P22" s="17">
        <v>0</v>
      </c>
      <c r="Q22" s="19">
        <v>0</v>
      </c>
      <c r="R22" s="17">
        <v>0</v>
      </c>
      <c r="S22" s="19">
        <v>0</v>
      </c>
    </row>
    <row r="23" spans="1:19" x14ac:dyDescent="0.25">
      <c r="A23" s="3">
        <v>22</v>
      </c>
      <c r="B23" s="23">
        <v>46.057069283343658</v>
      </c>
      <c r="C23" s="18">
        <v>44791.576932870368</v>
      </c>
      <c r="D23" s="23">
        <v>1.009896752365643</v>
      </c>
      <c r="E23" s="19">
        <v>5</v>
      </c>
      <c r="F23" s="17">
        <v>1</v>
      </c>
      <c r="G23" s="19">
        <v>-1.2509503364562988</v>
      </c>
      <c r="H23" s="17">
        <v>0.79562312364578247</v>
      </c>
      <c r="I23" s="17">
        <f t="shared" si="0"/>
        <v>-0.20015205383300783</v>
      </c>
      <c r="J23" s="17">
        <f t="shared" si="1"/>
        <v>-0.1592456022747365</v>
      </c>
      <c r="K23" s="19">
        <v>0</v>
      </c>
      <c r="L23" s="17">
        <v>2.9001430238009998E-3</v>
      </c>
      <c r="M23" s="19">
        <v>0</v>
      </c>
      <c r="N23" s="17">
        <v>2.385306577718E-3</v>
      </c>
      <c r="O23" s="19">
        <v>-8.2447053864598274E-3</v>
      </c>
      <c r="P23" s="17">
        <v>0</v>
      </c>
      <c r="Q23" s="19">
        <v>0</v>
      </c>
      <c r="R23" s="17">
        <v>0</v>
      </c>
      <c r="S23" s="19">
        <v>0</v>
      </c>
    </row>
    <row r="24" spans="1:19" x14ac:dyDescent="0.25">
      <c r="A24" s="3">
        <v>23</v>
      </c>
      <c r="B24" s="23">
        <v>47.059103070770576</v>
      </c>
      <c r="C24" s="18">
        <v>44791.576944444445</v>
      </c>
      <c r="D24" s="23">
        <v>2.0119305401505851</v>
      </c>
      <c r="E24" s="19">
        <v>5</v>
      </c>
      <c r="F24" s="17">
        <v>1</v>
      </c>
      <c r="G24" s="19">
        <v>-1.2502105236053467</v>
      </c>
      <c r="H24" s="17">
        <v>0.79654604196548462</v>
      </c>
      <c r="I24" s="17">
        <f t="shared" si="0"/>
        <v>-0.20003368377685546</v>
      </c>
      <c r="J24" s="17">
        <f t="shared" si="1"/>
        <v>-0.1593360390722296</v>
      </c>
      <c r="K24" s="19">
        <v>0</v>
      </c>
      <c r="L24" s="17">
        <v>3.248290794052E-3</v>
      </c>
      <c r="M24" s="19">
        <v>0</v>
      </c>
      <c r="N24" s="17">
        <v>2.6624273966780001E-3</v>
      </c>
      <c r="O24" s="19">
        <v>-8.0601219087839127E-3</v>
      </c>
      <c r="P24" s="17">
        <v>0</v>
      </c>
      <c r="Q24" s="19">
        <v>0</v>
      </c>
      <c r="R24" s="17">
        <v>0</v>
      </c>
      <c r="S24" s="19">
        <v>0</v>
      </c>
    </row>
    <row r="25" spans="1:19" x14ac:dyDescent="0.25">
      <c r="A25" s="3">
        <v>24</v>
      </c>
      <c r="B25" s="23">
        <v>48.063954341576235</v>
      </c>
      <c r="C25" s="18">
        <v>44791.576956018522</v>
      </c>
      <c r="D25" s="23">
        <v>3.0167818105982218</v>
      </c>
      <c r="E25" s="19">
        <v>5</v>
      </c>
      <c r="F25" s="17">
        <v>1</v>
      </c>
      <c r="G25" s="19">
        <v>-1.2509503364562988</v>
      </c>
      <c r="H25" s="17">
        <v>0.79654604196548462</v>
      </c>
      <c r="I25" s="17">
        <f t="shared" si="0"/>
        <v>-0.20015205383300783</v>
      </c>
      <c r="J25" s="17">
        <f t="shared" si="1"/>
        <v>-0.15943032627194498</v>
      </c>
      <c r="K25" s="19">
        <v>0</v>
      </c>
      <c r="L25" s="17">
        <v>3.597436756237E-3</v>
      </c>
      <c r="M25" s="19">
        <v>0</v>
      </c>
      <c r="N25" s="17">
        <v>2.9405047401970001E-3</v>
      </c>
      <c r="O25" s="19">
        <v>1.8458366685081273E-4</v>
      </c>
      <c r="P25" s="17">
        <v>0</v>
      </c>
      <c r="Q25" s="19">
        <v>0</v>
      </c>
      <c r="R25" s="17">
        <v>0</v>
      </c>
      <c r="S25" s="19">
        <v>0</v>
      </c>
    </row>
    <row r="26" spans="1:19" x14ac:dyDescent="0.25">
      <c r="A26" s="3">
        <v>25</v>
      </c>
      <c r="B26" s="23">
        <v>49.073776179599086</v>
      </c>
      <c r="C26" s="18">
        <v>44791.576967592591</v>
      </c>
      <c r="D26" s="23">
        <v>4.0266036450408329</v>
      </c>
      <c r="E26" s="19">
        <v>5</v>
      </c>
      <c r="F26" s="17">
        <v>1</v>
      </c>
      <c r="G26" s="19">
        <v>-1.2509503364562988</v>
      </c>
      <c r="H26" s="17">
        <v>0.79716134071350098</v>
      </c>
      <c r="I26" s="17">
        <f t="shared" si="0"/>
        <v>-0.20015205383300783</v>
      </c>
      <c r="J26" s="17">
        <f t="shared" si="1"/>
        <v>-0.15955347958008134</v>
      </c>
      <c r="K26" s="19">
        <v>0</v>
      </c>
      <c r="L26" s="17">
        <v>3.9483033676930004E-3</v>
      </c>
      <c r="M26" s="19">
        <v>0</v>
      </c>
      <c r="N26" s="17">
        <v>3.2200909919310001E-3</v>
      </c>
      <c r="O26" s="19">
        <v>1.8458366685081273E-4</v>
      </c>
      <c r="P26" s="17">
        <v>0</v>
      </c>
      <c r="Q26" s="19">
        <v>0</v>
      </c>
      <c r="R26" s="17">
        <v>0</v>
      </c>
      <c r="S26" s="19">
        <v>0</v>
      </c>
    </row>
    <row r="27" spans="1:19" x14ac:dyDescent="0.25">
      <c r="A27" s="3">
        <v>26</v>
      </c>
      <c r="B27" s="23">
        <v>50.060078530383699</v>
      </c>
      <c r="C27" s="18">
        <v>44791.576979166675</v>
      </c>
      <c r="D27" s="23">
        <v>5.0129059994056808</v>
      </c>
      <c r="E27" s="19">
        <v>5</v>
      </c>
      <c r="F27" s="17">
        <v>1</v>
      </c>
      <c r="G27" s="19">
        <v>-1.2505804300308228</v>
      </c>
      <c r="H27" s="17">
        <v>0.79746896028518677</v>
      </c>
      <c r="I27" s="17">
        <f t="shared" si="0"/>
        <v>-0.20009286880493163</v>
      </c>
      <c r="J27" s="17">
        <f t="shared" si="1"/>
        <v>-0.1595678520463491</v>
      </c>
      <c r="K27" s="19">
        <v>0</v>
      </c>
      <c r="L27" s="17">
        <v>4.2910113990950001E-3</v>
      </c>
      <c r="M27" s="19">
        <v>0</v>
      </c>
      <c r="N27" s="17">
        <v>3.4933255776130002E-3</v>
      </c>
      <c r="O27" s="19">
        <v>1.8458366685081273E-4</v>
      </c>
      <c r="P27" s="17">
        <v>0</v>
      </c>
      <c r="Q27" s="19">
        <v>0</v>
      </c>
      <c r="R27" s="17">
        <v>0</v>
      </c>
      <c r="S27" s="19">
        <v>0</v>
      </c>
    </row>
    <row r="28" spans="1:19" x14ac:dyDescent="0.25">
      <c r="A28" s="3">
        <v>27</v>
      </c>
      <c r="B28" s="23">
        <v>51.066032982947327</v>
      </c>
      <c r="C28" s="18">
        <v>44791.576990740738</v>
      </c>
      <c r="D28" s="23">
        <v>1.002786005921714</v>
      </c>
      <c r="E28" s="19">
        <v>6</v>
      </c>
      <c r="F28" s="17">
        <v>1</v>
      </c>
      <c r="G28" s="19">
        <v>-1.5634903907775879</v>
      </c>
      <c r="H28" s="17">
        <v>0.78331762552261353</v>
      </c>
      <c r="I28" s="17">
        <f t="shared" si="0"/>
        <v>-0.25015846252441404</v>
      </c>
      <c r="J28" s="17">
        <f t="shared" si="1"/>
        <v>-0.19595353286901171</v>
      </c>
      <c r="K28" s="19">
        <v>0</v>
      </c>
      <c r="L28" s="17">
        <v>4.7232961293429999E-3</v>
      </c>
      <c r="M28" s="19">
        <v>0</v>
      </c>
      <c r="N28" s="17">
        <v>3.832178668238E-3</v>
      </c>
      <c r="O28" s="19">
        <v>-2.8302669525146484E-3</v>
      </c>
      <c r="P28" s="17">
        <v>0</v>
      </c>
      <c r="Q28" s="19">
        <v>0</v>
      </c>
      <c r="R28" s="17">
        <v>0</v>
      </c>
      <c r="S28" s="19">
        <v>0</v>
      </c>
    </row>
    <row r="29" spans="1:19" x14ac:dyDescent="0.25">
      <c r="A29" s="3">
        <v>28</v>
      </c>
      <c r="B29" s="23">
        <v>52.071992307857549</v>
      </c>
      <c r="C29" s="18">
        <v>44791.577002314814</v>
      </c>
      <c r="D29" s="23">
        <v>2.0087455864609698</v>
      </c>
      <c r="E29" s="19">
        <v>6</v>
      </c>
      <c r="F29" s="17">
        <v>1</v>
      </c>
      <c r="G29" s="19">
        <v>-1.5631206035614014</v>
      </c>
      <c r="H29" s="17">
        <v>0.78362524509429932</v>
      </c>
      <c r="I29" s="17">
        <f t="shared" si="0"/>
        <v>-0.25009929656982421</v>
      </c>
      <c r="J29" s="17">
        <f t="shared" si="1"/>
        <v>-0.19598412257244036</v>
      </c>
      <c r="K29" s="19">
        <v>0</v>
      </c>
      <c r="L29" s="17">
        <v>5.1600539874609996E-3</v>
      </c>
      <c r="M29" s="19">
        <v>0</v>
      </c>
      <c r="N29" s="17">
        <v>4.1744468873050004E-3</v>
      </c>
      <c r="O29" s="19">
        <v>-2.768743084743619E-3</v>
      </c>
      <c r="P29" s="17">
        <v>0</v>
      </c>
      <c r="Q29" s="19">
        <v>0</v>
      </c>
      <c r="R29" s="17">
        <v>0</v>
      </c>
      <c r="S29" s="19">
        <v>0</v>
      </c>
    </row>
    <row r="30" spans="1:19" x14ac:dyDescent="0.25">
      <c r="A30" s="3">
        <v>29</v>
      </c>
      <c r="B30" s="23">
        <v>53.073913599894027</v>
      </c>
      <c r="C30" s="18">
        <v>44791.577013888891</v>
      </c>
      <c r="D30" s="23">
        <v>3.0106666264486539</v>
      </c>
      <c r="E30" s="19">
        <v>6</v>
      </c>
      <c r="F30" s="17">
        <v>1</v>
      </c>
      <c r="G30" s="19">
        <v>-1.5631206035614014</v>
      </c>
      <c r="H30" s="17">
        <v>0.78454816341400146</v>
      </c>
      <c r="I30" s="17">
        <f t="shared" si="0"/>
        <v>-0.25009929656982421</v>
      </c>
      <c r="J30" s="17">
        <f t="shared" si="1"/>
        <v>-0.19621494379498927</v>
      </c>
      <c r="K30" s="19">
        <v>0</v>
      </c>
      <c r="L30" s="17">
        <v>5.5950481456190004E-3</v>
      </c>
      <c r="M30" s="19">
        <v>0</v>
      </c>
      <c r="N30" s="17">
        <v>4.5155044064850002E-3</v>
      </c>
      <c r="O30" s="19">
        <v>2.4610757827758789E-4</v>
      </c>
      <c r="P30" s="17">
        <v>0</v>
      </c>
      <c r="Q30" s="19">
        <v>0</v>
      </c>
      <c r="R30" s="17">
        <v>0</v>
      </c>
      <c r="S30" s="19">
        <v>0</v>
      </c>
    </row>
    <row r="31" spans="1:19" x14ac:dyDescent="0.25">
      <c r="A31" s="3">
        <v>30</v>
      </c>
      <c r="B31" s="23">
        <v>54.081762884025331</v>
      </c>
      <c r="C31" s="18">
        <v>44791.577025462961</v>
      </c>
      <c r="D31" s="23">
        <v>4.0185159105799633</v>
      </c>
      <c r="E31" s="19">
        <v>6</v>
      </c>
      <c r="F31" s="17">
        <v>1</v>
      </c>
      <c r="G31" s="19">
        <v>-1.5631206035614014</v>
      </c>
      <c r="H31" s="17">
        <v>0.78454816341400146</v>
      </c>
      <c r="I31" s="17">
        <f t="shared" si="0"/>
        <v>-0.25009929656982421</v>
      </c>
      <c r="J31" s="17">
        <f t="shared" si="1"/>
        <v>-0.19621494379498927</v>
      </c>
      <c r="K31" s="19">
        <v>0</v>
      </c>
      <c r="L31" s="17">
        <v>6.0326305691139996E-3</v>
      </c>
      <c r="M31" s="19">
        <v>0</v>
      </c>
      <c r="N31" s="17">
        <v>4.858728828117E-3</v>
      </c>
      <c r="O31" s="19">
        <v>1.8458366685081273E-4</v>
      </c>
      <c r="P31" s="17">
        <v>0</v>
      </c>
      <c r="Q31" s="19">
        <v>0</v>
      </c>
      <c r="R31" s="17">
        <v>0</v>
      </c>
      <c r="S31" s="19">
        <v>0</v>
      </c>
    </row>
    <row r="32" spans="1:19" x14ac:dyDescent="0.25">
      <c r="A32" s="3">
        <v>31</v>
      </c>
      <c r="B32" s="23">
        <v>55.070150637461467</v>
      </c>
      <c r="C32" s="18">
        <v>44791.577037037037</v>
      </c>
      <c r="D32" s="23">
        <v>5.0069036604358583</v>
      </c>
      <c r="E32" s="19">
        <v>6</v>
      </c>
      <c r="F32" s="17">
        <v>1</v>
      </c>
      <c r="G32" s="19">
        <v>-1.5631206035614014</v>
      </c>
      <c r="H32" s="17">
        <v>0.78454816341400146</v>
      </c>
      <c r="I32" s="17">
        <f t="shared" si="0"/>
        <v>-0.25009929656982421</v>
      </c>
      <c r="J32" s="17">
        <f t="shared" si="1"/>
        <v>-0.19621494379498927</v>
      </c>
      <c r="K32" s="19">
        <v>0</v>
      </c>
      <c r="L32" s="17">
        <v>6.4617564450620002E-3</v>
      </c>
      <c r="M32" s="19">
        <v>0</v>
      </c>
      <c r="N32" s="17">
        <v>5.1954512657129996E-3</v>
      </c>
      <c r="O32" s="19">
        <v>0</v>
      </c>
      <c r="P32" s="17">
        <v>0</v>
      </c>
      <c r="Q32" s="19">
        <v>0</v>
      </c>
      <c r="R32" s="17">
        <v>0</v>
      </c>
      <c r="S32" s="19">
        <v>0</v>
      </c>
    </row>
    <row r="33" spans="1:19" x14ac:dyDescent="0.25">
      <c r="A33" s="3">
        <v>32</v>
      </c>
      <c r="B33" s="23">
        <v>56.074889754789467</v>
      </c>
      <c r="C33" s="18">
        <v>44791.577048611114</v>
      </c>
      <c r="D33" s="23">
        <v>1.0015506675354711</v>
      </c>
      <c r="E33" s="19">
        <v>7</v>
      </c>
      <c r="F33" s="17">
        <v>1</v>
      </c>
      <c r="G33" s="19">
        <v>-1.8756606578826904</v>
      </c>
      <c r="H33" s="17">
        <v>0.77224260568618774</v>
      </c>
      <c r="I33" s="17">
        <f t="shared" si="0"/>
        <v>-0.30010570526123048</v>
      </c>
      <c r="J33" s="17">
        <f t="shared" si="1"/>
        <v>-0.2317544118122237</v>
      </c>
      <c r="K33" s="19">
        <v>0</v>
      </c>
      <c r="L33" s="17">
        <v>6.980785315908E-3</v>
      </c>
      <c r="M33" s="19">
        <v>0</v>
      </c>
      <c r="N33" s="17">
        <v>5.5963267202570003E-3</v>
      </c>
      <c r="O33" s="19">
        <v>-2.4611116386950016E-3</v>
      </c>
      <c r="P33" s="17">
        <v>0</v>
      </c>
      <c r="Q33" s="19">
        <v>0</v>
      </c>
      <c r="R33" s="17">
        <v>0</v>
      </c>
      <c r="S33" s="19">
        <v>0</v>
      </c>
    </row>
    <row r="34" spans="1:19" x14ac:dyDescent="0.25">
      <c r="A34" s="3">
        <v>33</v>
      </c>
      <c r="B34" s="23">
        <v>57.075008174042551</v>
      </c>
      <c r="C34" s="18">
        <v>44791.577060185184</v>
      </c>
      <c r="D34" s="23">
        <v>2.001669094665087</v>
      </c>
      <c r="E34" s="19">
        <v>7</v>
      </c>
      <c r="F34" s="17">
        <v>1</v>
      </c>
      <c r="G34" s="19">
        <v>-1.8760305643081665</v>
      </c>
      <c r="H34" s="17">
        <v>0.77224260568618774</v>
      </c>
      <c r="I34" s="17">
        <f t="shared" si="0"/>
        <v>-0.30016489028930665</v>
      </c>
      <c r="J34" s="17">
        <f t="shared" si="1"/>
        <v>-0.23180011701252284</v>
      </c>
      <c r="K34" s="19">
        <v>0</v>
      </c>
      <c r="L34" s="17">
        <v>7.5018823454790001E-3</v>
      </c>
      <c r="M34" s="19">
        <v>0</v>
      </c>
      <c r="N34" s="17">
        <v>5.9987951577140002E-3</v>
      </c>
      <c r="O34" s="19">
        <v>-2.4611116386950016E-3</v>
      </c>
      <c r="P34" s="17">
        <v>0</v>
      </c>
      <c r="Q34" s="19">
        <v>0</v>
      </c>
      <c r="R34" s="17">
        <v>0</v>
      </c>
      <c r="S34" s="19">
        <v>0</v>
      </c>
    </row>
    <row r="35" spans="1:19" x14ac:dyDescent="0.25">
      <c r="A35" s="3">
        <v>34</v>
      </c>
      <c r="B35" s="23">
        <v>58.078005923862648</v>
      </c>
      <c r="C35" s="18">
        <v>44791.57707175926</v>
      </c>
      <c r="D35" s="23">
        <v>3.0046668366086551</v>
      </c>
      <c r="E35" s="19">
        <v>7</v>
      </c>
      <c r="F35" s="17">
        <v>1</v>
      </c>
      <c r="G35" s="19">
        <v>-1.8752908706665039</v>
      </c>
      <c r="H35" s="17">
        <v>0.7728579044342041</v>
      </c>
      <c r="I35" s="17">
        <f t="shared" si="0"/>
        <v>-0.3000465393066406</v>
      </c>
      <c r="J35" s="17">
        <f t="shared" si="1"/>
        <v>-0.23189333960126532</v>
      </c>
      <c r="K35" s="19">
        <v>0</v>
      </c>
      <c r="L35" s="17">
        <v>8.0244788381180002E-3</v>
      </c>
      <c r="M35" s="19">
        <v>0</v>
      </c>
      <c r="N35" s="17">
        <v>6.4026074669050002E-3</v>
      </c>
      <c r="O35" s="19">
        <v>1.8458366685081273E-4</v>
      </c>
      <c r="P35" s="17">
        <v>0</v>
      </c>
      <c r="Q35" s="19">
        <v>0</v>
      </c>
      <c r="R35" s="17">
        <v>0</v>
      </c>
      <c r="S35" s="19">
        <v>0</v>
      </c>
    </row>
    <row r="36" spans="1:19" x14ac:dyDescent="0.25">
      <c r="A36" s="3">
        <v>35</v>
      </c>
      <c r="B36" s="23">
        <v>59.081941286952542</v>
      </c>
      <c r="C36" s="18">
        <v>44791.57708333333</v>
      </c>
      <c r="D36" s="23">
        <v>4.0086022036368059</v>
      </c>
      <c r="E36" s="19">
        <v>7</v>
      </c>
      <c r="F36" s="17">
        <v>1</v>
      </c>
      <c r="G36" s="19">
        <v>-1.8752908706665039</v>
      </c>
      <c r="H36" s="17">
        <v>0.77316552400588989</v>
      </c>
      <c r="I36" s="17">
        <f t="shared" si="0"/>
        <v>-0.3000465393066406</v>
      </c>
      <c r="J36" s="17">
        <f t="shared" si="1"/>
        <v>-0.23198563978917261</v>
      </c>
      <c r="K36" s="19">
        <v>0</v>
      </c>
      <c r="L36" s="17">
        <v>8.5475590383620008E-3</v>
      </c>
      <c r="M36" s="19">
        <v>0</v>
      </c>
      <c r="N36" s="17">
        <v>6.8069431379649999E-3</v>
      </c>
      <c r="O36" s="19">
        <v>1.2304782285355031E-4</v>
      </c>
      <c r="P36" s="17">
        <v>0</v>
      </c>
      <c r="Q36" s="19">
        <v>0</v>
      </c>
      <c r="R36" s="17">
        <v>0</v>
      </c>
      <c r="S36" s="19">
        <v>0</v>
      </c>
    </row>
    <row r="37" spans="1:19" x14ac:dyDescent="0.25">
      <c r="A37" s="3">
        <v>36</v>
      </c>
      <c r="B37" s="23">
        <v>60.075038223342439</v>
      </c>
      <c r="C37" s="18">
        <v>44791.577094907407</v>
      </c>
      <c r="D37" s="23">
        <v>5.0016991364464713</v>
      </c>
      <c r="E37" s="19">
        <v>7</v>
      </c>
      <c r="F37" s="17">
        <v>1</v>
      </c>
      <c r="G37" s="19">
        <v>-1.8760305643081665</v>
      </c>
      <c r="H37" s="17">
        <v>0.77316552400588989</v>
      </c>
      <c r="I37" s="17">
        <f t="shared" si="0"/>
        <v>-0.30016489028930665</v>
      </c>
      <c r="J37" s="17">
        <f t="shared" si="1"/>
        <v>-0.23207714468870222</v>
      </c>
      <c r="K37" s="19">
        <v>0</v>
      </c>
      <c r="L37" s="17">
        <v>9.0650051499069993E-3</v>
      </c>
      <c r="M37" s="19">
        <v>0</v>
      </c>
      <c r="N37" s="17">
        <v>7.2070477177019997E-3</v>
      </c>
      <c r="O37" s="19">
        <v>6.1523911426775157E-5</v>
      </c>
      <c r="P37" s="17">
        <v>0</v>
      </c>
      <c r="Q37" s="19">
        <v>0</v>
      </c>
      <c r="R37" s="17">
        <v>0</v>
      </c>
      <c r="S37" s="19">
        <v>0</v>
      </c>
    </row>
    <row r="38" spans="1:19" x14ac:dyDescent="0.25">
      <c r="A38" s="3">
        <v>37</v>
      </c>
      <c r="B38" s="23">
        <v>61.078981875758558</v>
      </c>
      <c r="C38" s="18">
        <v>44791.577106481483</v>
      </c>
      <c r="D38" s="23">
        <v>1.0010931782135331</v>
      </c>
      <c r="E38" s="19">
        <v>8</v>
      </c>
      <c r="F38" s="17">
        <v>1</v>
      </c>
      <c r="G38" s="19">
        <v>-2.1885707378387451</v>
      </c>
      <c r="H38" s="17">
        <v>0.7617829442024231</v>
      </c>
      <c r="I38" s="17">
        <f t="shared" si="0"/>
        <v>-0.35017131805419921</v>
      </c>
      <c r="J38" s="17">
        <f t="shared" si="1"/>
        <v>-0.26675453764257101</v>
      </c>
      <c r="K38" s="19">
        <v>0</v>
      </c>
      <c r="L38" s="17">
        <v>9.6721403340130005E-3</v>
      </c>
      <c r="M38" s="19">
        <v>0</v>
      </c>
      <c r="N38" s="17">
        <v>7.6696506272419997E-3</v>
      </c>
      <c r="O38" s="19">
        <v>-2.2765160538256168E-3</v>
      </c>
      <c r="P38" s="17">
        <v>0</v>
      </c>
      <c r="Q38" s="19">
        <v>0</v>
      </c>
      <c r="R38" s="17">
        <v>0</v>
      </c>
      <c r="S38" s="19">
        <v>0</v>
      </c>
    </row>
    <row r="39" spans="1:19" x14ac:dyDescent="0.25">
      <c r="A39" s="3">
        <v>38</v>
      </c>
      <c r="B39" s="23">
        <v>62.084053720404853</v>
      </c>
      <c r="C39" s="18">
        <v>44791.577118055553</v>
      </c>
      <c r="D39" s="23">
        <v>2.006165206884083</v>
      </c>
      <c r="E39" s="19">
        <v>8</v>
      </c>
      <c r="F39" s="17">
        <v>1</v>
      </c>
      <c r="G39" s="19">
        <v>-2.1882007122039795</v>
      </c>
      <c r="H39" s="17">
        <v>0.76209056377410889</v>
      </c>
      <c r="I39" s="17">
        <f t="shared" si="0"/>
        <v>-0.35011211395263669</v>
      </c>
      <c r="J39" s="17">
        <f t="shared" si="1"/>
        <v>-0.26681713830630993</v>
      </c>
      <c r="K39" s="19">
        <v>0</v>
      </c>
      <c r="L39" s="17">
        <v>1.0283091552379E-2</v>
      </c>
      <c r="M39" s="19">
        <v>0</v>
      </c>
      <c r="N39" s="17">
        <v>8.1351377974989997E-3</v>
      </c>
      <c r="O39" s="19">
        <v>-2.2149919532239437E-3</v>
      </c>
      <c r="P39" s="17">
        <v>0</v>
      </c>
      <c r="Q39" s="19">
        <v>0</v>
      </c>
      <c r="R39" s="17">
        <v>0</v>
      </c>
      <c r="S39" s="19">
        <v>0</v>
      </c>
    </row>
    <row r="40" spans="1:19" x14ac:dyDescent="0.25">
      <c r="A40" s="3">
        <v>39</v>
      </c>
      <c r="B40" s="23">
        <v>63.088925802062938</v>
      </c>
      <c r="C40" s="18">
        <v>44791.57712962963</v>
      </c>
      <c r="D40" s="23">
        <v>3.0110371195549051</v>
      </c>
      <c r="E40" s="19">
        <v>8</v>
      </c>
      <c r="F40" s="17">
        <v>1</v>
      </c>
      <c r="G40" s="19">
        <v>-2.1889405250549316</v>
      </c>
      <c r="H40" s="17">
        <v>0.76209056377410889</v>
      </c>
      <c r="I40" s="17">
        <f t="shared" si="0"/>
        <v>-0.35023048400878909</v>
      </c>
      <c r="J40" s="17">
        <f t="shared" si="1"/>
        <v>-0.2669073470091371</v>
      </c>
      <c r="K40" s="19">
        <v>0</v>
      </c>
      <c r="L40" s="17">
        <v>1.0893901003587E-2</v>
      </c>
      <c r="M40" s="19">
        <v>0</v>
      </c>
      <c r="N40" s="17">
        <v>8.6006853066519992E-3</v>
      </c>
      <c r="O40" s="19">
        <v>1.2304782285355031E-4</v>
      </c>
      <c r="P40" s="17">
        <v>0</v>
      </c>
      <c r="Q40" s="19">
        <v>0</v>
      </c>
      <c r="R40" s="17">
        <v>0</v>
      </c>
      <c r="S40" s="19">
        <v>0</v>
      </c>
    </row>
    <row r="41" spans="1:19" x14ac:dyDescent="0.25">
      <c r="A41" s="3">
        <v>40</v>
      </c>
      <c r="B41" s="23">
        <v>64.091887493152797</v>
      </c>
      <c r="C41" s="18">
        <v>44791.577141203707</v>
      </c>
      <c r="D41" s="23">
        <v>4.0139987956077636</v>
      </c>
      <c r="E41" s="19">
        <v>8</v>
      </c>
      <c r="F41" s="17">
        <v>1</v>
      </c>
      <c r="G41" s="19">
        <v>-2.1882007122039795</v>
      </c>
      <c r="H41" s="17">
        <v>0.76239824295043945</v>
      </c>
      <c r="I41" s="17">
        <f t="shared" si="0"/>
        <v>-0.35011211395263669</v>
      </c>
      <c r="J41" s="17">
        <f t="shared" si="1"/>
        <v>-0.26692486051315423</v>
      </c>
      <c r="K41" s="19">
        <v>0</v>
      </c>
      <c r="L41" s="17">
        <v>1.1503575057934E-2</v>
      </c>
      <c r="M41" s="19">
        <v>0</v>
      </c>
      <c r="N41" s="17">
        <v>9.0655155055949996E-3</v>
      </c>
      <c r="O41" s="19">
        <v>6.1535836721304804E-5</v>
      </c>
      <c r="P41" s="17">
        <v>0</v>
      </c>
      <c r="Q41" s="19">
        <v>0</v>
      </c>
      <c r="R41" s="17">
        <v>0</v>
      </c>
      <c r="S41" s="19">
        <v>0</v>
      </c>
    </row>
    <row r="42" spans="1:19" x14ac:dyDescent="0.25">
      <c r="A42" s="3">
        <v>41</v>
      </c>
      <c r="B42" s="23">
        <v>65.083099304717678</v>
      </c>
      <c r="C42" s="18">
        <v>44791.577152777776</v>
      </c>
      <c r="D42" s="23">
        <v>5.0052106107528882</v>
      </c>
      <c r="E42" s="19">
        <v>8</v>
      </c>
      <c r="F42" s="17">
        <v>1</v>
      </c>
      <c r="G42" s="19">
        <v>-2.1885707378387451</v>
      </c>
      <c r="H42" s="17">
        <v>0.76270586252212524</v>
      </c>
      <c r="I42" s="17">
        <f t="shared" si="0"/>
        <v>-0.35017131805419921</v>
      </c>
      <c r="J42" s="17">
        <f t="shared" si="1"/>
        <v>-0.26707771716703743</v>
      </c>
      <c r="K42" s="19">
        <v>0</v>
      </c>
      <c r="L42" s="17">
        <v>1.2106085558077E-2</v>
      </c>
      <c r="M42" s="19">
        <v>0</v>
      </c>
      <c r="N42" s="17">
        <v>9.5249876910130007E-3</v>
      </c>
      <c r="O42" s="19">
        <v>6.1523911426775157E-5</v>
      </c>
      <c r="P42" s="17">
        <v>0</v>
      </c>
      <c r="Q42" s="19">
        <v>0</v>
      </c>
      <c r="R42" s="17">
        <v>0</v>
      </c>
      <c r="S42" s="19">
        <v>0</v>
      </c>
    </row>
    <row r="43" spans="1:19" x14ac:dyDescent="0.25">
      <c r="A43" s="3">
        <v>42</v>
      </c>
      <c r="B43" s="23">
        <v>66.089972811310687</v>
      </c>
      <c r="C43" s="18">
        <v>44791.577164351853</v>
      </c>
      <c r="D43" s="23">
        <v>1.003975587069611</v>
      </c>
      <c r="E43" s="19">
        <v>9</v>
      </c>
      <c r="F43" s="17">
        <v>1</v>
      </c>
      <c r="G43" s="19">
        <v>-2.5007410049438477</v>
      </c>
      <c r="H43" s="17">
        <v>0.75193852186203003</v>
      </c>
      <c r="I43" s="17">
        <f t="shared" si="0"/>
        <v>-0.4001185607910156</v>
      </c>
      <c r="J43" s="17">
        <f t="shared" si="1"/>
        <v>-0.30086455917075905</v>
      </c>
      <c r="K43" s="19">
        <v>0</v>
      </c>
      <c r="L43" s="17">
        <v>1.2801635707380001E-2</v>
      </c>
      <c r="M43" s="19">
        <v>0</v>
      </c>
      <c r="N43" s="17">
        <v>1.0048257539293001E-2</v>
      </c>
      <c r="O43" s="19">
        <v>-2.2149919532239437E-3</v>
      </c>
      <c r="P43" s="17">
        <v>0</v>
      </c>
      <c r="Q43" s="19">
        <v>0</v>
      </c>
      <c r="R43" s="17">
        <v>0</v>
      </c>
      <c r="S43" s="19">
        <v>0</v>
      </c>
    </row>
    <row r="44" spans="1:19" x14ac:dyDescent="0.25">
      <c r="A44" s="3">
        <v>43</v>
      </c>
      <c r="B44" s="23">
        <v>67.093996009466153</v>
      </c>
      <c r="C44" s="18">
        <v>44791.577175925922</v>
      </c>
      <c r="D44" s="23">
        <v>2.0079987812868092</v>
      </c>
      <c r="E44" s="19">
        <v>9</v>
      </c>
      <c r="F44" s="17">
        <v>1</v>
      </c>
      <c r="G44" s="19">
        <v>-2.5011107921600342</v>
      </c>
      <c r="H44" s="17">
        <v>0.75224614143371582</v>
      </c>
      <c r="I44" s="17">
        <f t="shared" si="0"/>
        <v>-0.40017772674560548</v>
      </c>
      <c r="J44" s="17">
        <f t="shared" si="1"/>
        <v>-0.30103215083209761</v>
      </c>
      <c r="K44" s="19">
        <v>0</v>
      </c>
      <c r="L44" s="17">
        <v>1.3499116945890999E-2</v>
      </c>
      <c r="M44" s="19">
        <v>0</v>
      </c>
      <c r="N44" s="17">
        <v>1.0572869913878E-2</v>
      </c>
      <c r="O44" s="19">
        <v>-2.1534680854529142E-3</v>
      </c>
      <c r="P44" s="17">
        <v>0</v>
      </c>
      <c r="Q44" s="19">
        <v>0</v>
      </c>
      <c r="R44" s="17">
        <v>0</v>
      </c>
      <c r="S44" s="19">
        <v>0</v>
      </c>
    </row>
    <row r="45" spans="1:19" x14ac:dyDescent="0.25">
      <c r="A45" s="3">
        <v>44</v>
      </c>
      <c r="B45" s="23">
        <v>68.102770824636337</v>
      </c>
      <c r="C45" s="18">
        <v>44791.577187499999</v>
      </c>
      <c r="D45" s="23">
        <v>3.0167735964569959</v>
      </c>
      <c r="E45" s="19">
        <v>9</v>
      </c>
      <c r="F45" s="17">
        <v>1</v>
      </c>
      <c r="G45" s="19">
        <v>-2.5007410049438477</v>
      </c>
      <c r="H45" s="17">
        <v>0.75255382061004639</v>
      </c>
      <c r="I45" s="17">
        <f t="shared" si="0"/>
        <v>-0.4001185607910156</v>
      </c>
      <c r="J45" s="17">
        <f t="shared" si="1"/>
        <v>-0.3011107516202719</v>
      </c>
      <c r="K45" s="19">
        <v>0</v>
      </c>
      <c r="L45" s="17">
        <v>1.4199916797573001E-2</v>
      </c>
      <c r="M45" s="19">
        <v>0</v>
      </c>
      <c r="N45" s="17">
        <v>1.1100140158948999E-2</v>
      </c>
      <c r="O45" s="19">
        <v>1.2305975542403758E-4</v>
      </c>
      <c r="P45" s="17">
        <v>0</v>
      </c>
      <c r="Q45" s="19">
        <v>0</v>
      </c>
      <c r="R45" s="17">
        <v>0</v>
      </c>
      <c r="S45" s="19">
        <v>0</v>
      </c>
    </row>
    <row r="46" spans="1:19" x14ac:dyDescent="0.25">
      <c r="A46" s="3">
        <v>45</v>
      </c>
      <c r="B46" s="23">
        <v>69.107696460934221</v>
      </c>
      <c r="C46" s="18">
        <v>44791.577199074083</v>
      </c>
      <c r="D46" s="23">
        <v>4.0216992327548864</v>
      </c>
      <c r="E46" s="19">
        <v>9</v>
      </c>
      <c r="F46" s="17">
        <v>1</v>
      </c>
      <c r="G46" s="19">
        <v>-2.5007410049438477</v>
      </c>
      <c r="H46" s="17">
        <v>0.75255382061004639</v>
      </c>
      <c r="I46" s="17">
        <f t="shared" si="0"/>
        <v>-0.4001185607910156</v>
      </c>
      <c r="J46" s="17">
        <f t="shared" si="1"/>
        <v>-0.3011107516202719</v>
      </c>
      <c r="K46" s="19">
        <v>0</v>
      </c>
      <c r="L46" s="17">
        <v>1.489802422352E-2</v>
      </c>
      <c r="M46" s="19">
        <v>0</v>
      </c>
      <c r="N46" s="17">
        <v>1.1625543535193E-2</v>
      </c>
      <c r="O46" s="19">
        <v>1.2305975542403758E-4</v>
      </c>
      <c r="P46" s="17">
        <v>0</v>
      </c>
      <c r="Q46" s="19">
        <v>0</v>
      </c>
      <c r="R46" s="17">
        <v>0</v>
      </c>
      <c r="S46" s="19">
        <v>0</v>
      </c>
    </row>
    <row r="47" spans="1:19" x14ac:dyDescent="0.25">
      <c r="A47" s="3">
        <v>46</v>
      </c>
      <c r="B47" s="23">
        <v>70.096000221616762</v>
      </c>
      <c r="C47" s="18">
        <v>44791.577210648145</v>
      </c>
      <c r="D47" s="23">
        <v>5.0100029934374222</v>
      </c>
      <c r="E47" s="19">
        <v>9</v>
      </c>
      <c r="F47" s="17">
        <v>1</v>
      </c>
      <c r="G47" s="19">
        <v>-2.5011107921600342</v>
      </c>
      <c r="H47" s="17">
        <v>0.75286144018173218</v>
      </c>
      <c r="I47" s="17">
        <f t="shared" si="0"/>
        <v>-0.40017772674560548</v>
      </c>
      <c r="J47" s="17">
        <f t="shared" si="1"/>
        <v>-0.30127837968634824</v>
      </c>
      <c r="K47" s="19">
        <v>0</v>
      </c>
      <c r="L47" s="17">
        <v>1.5584574798794E-2</v>
      </c>
      <c r="M47" s="19">
        <v>0</v>
      </c>
      <c r="N47" s="17">
        <v>1.2142432611368E-2</v>
      </c>
      <c r="O47" s="19">
        <v>6.1523911426775157E-5</v>
      </c>
      <c r="P47" s="17">
        <v>0</v>
      </c>
      <c r="Q47" s="19">
        <v>0</v>
      </c>
      <c r="R47" s="17">
        <v>0</v>
      </c>
      <c r="S47" s="19">
        <v>0</v>
      </c>
    </row>
    <row r="48" spans="1:19" x14ac:dyDescent="0.25">
      <c r="A48" s="3">
        <v>47</v>
      </c>
      <c r="B48" s="23">
        <v>71.101887567979773</v>
      </c>
      <c r="C48" s="18">
        <v>44791.577222222222</v>
      </c>
      <c r="D48" s="23">
        <v>1.0029822316342709</v>
      </c>
      <c r="E48" s="19">
        <v>10</v>
      </c>
      <c r="F48" s="17">
        <v>1</v>
      </c>
      <c r="G48" s="19">
        <v>-2.8136510848999023</v>
      </c>
      <c r="H48" s="17">
        <v>0.74301701784133911</v>
      </c>
      <c r="I48" s="17">
        <f t="shared" si="0"/>
        <v>-0.45018417358398438</v>
      </c>
      <c r="J48" s="17">
        <f t="shared" si="1"/>
        <v>-0.33449450213573984</v>
      </c>
      <c r="K48" s="19">
        <v>0</v>
      </c>
      <c r="L48" s="17">
        <v>1.6368429473769E-2</v>
      </c>
      <c r="M48" s="19">
        <v>0</v>
      </c>
      <c r="N48" s="17">
        <v>1.2724618165794E-2</v>
      </c>
      <c r="O48" s="19">
        <v>-6.1523911426775157E-5</v>
      </c>
      <c r="P48" s="17">
        <v>0</v>
      </c>
      <c r="Q48" s="19">
        <v>0</v>
      </c>
      <c r="R48" s="17">
        <v>0</v>
      </c>
      <c r="S48" s="19">
        <v>0</v>
      </c>
    </row>
    <row r="49" spans="1:19" x14ac:dyDescent="0.25">
      <c r="A49" s="3">
        <v>48</v>
      </c>
      <c r="B49" s="23">
        <v>72.104873596098983</v>
      </c>
      <c r="C49" s="18">
        <v>44791.577233796299</v>
      </c>
      <c r="D49" s="23">
        <v>2.0059682636917269</v>
      </c>
      <c r="E49" s="19">
        <v>10</v>
      </c>
      <c r="F49" s="17">
        <v>1</v>
      </c>
      <c r="G49" s="19">
        <v>-2.8136510848999023</v>
      </c>
      <c r="H49" s="17">
        <v>0.74270939826965332</v>
      </c>
      <c r="I49" s="17">
        <f t="shared" si="0"/>
        <v>-0.45018417358398438</v>
      </c>
      <c r="J49" s="17">
        <f t="shared" si="1"/>
        <v>-0.33435601667308218</v>
      </c>
      <c r="K49" s="19">
        <v>0</v>
      </c>
      <c r="L49" s="17">
        <v>1.7152279888889999E-2</v>
      </c>
      <c r="M49" s="19">
        <v>0</v>
      </c>
      <c r="N49" s="17">
        <v>1.3307015376621E-2</v>
      </c>
      <c r="O49" s="19">
        <v>-1.2304782285355031E-4</v>
      </c>
      <c r="P49" s="17">
        <v>0</v>
      </c>
      <c r="Q49" s="19">
        <v>0</v>
      </c>
      <c r="R49" s="17">
        <v>0</v>
      </c>
      <c r="S49" s="19">
        <v>0</v>
      </c>
    </row>
    <row r="50" spans="1:19" x14ac:dyDescent="0.25">
      <c r="A50" s="3">
        <v>49</v>
      </c>
      <c r="B50" s="23">
        <v>73.107826321197507</v>
      </c>
      <c r="C50" s="18">
        <v>44791.577245370368</v>
      </c>
      <c r="D50" s="23">
        <v>3.0089209848520109</v>
      </c>
      <c r="E50" s="19">
        <v>10</v>
      </c>
      <c r="F50" s="17">
        <v>1</v>
      </c>
      <c r="G50" s="19">
        <v>-2.8132810592651367</v>
      </c>
      <c r="H50" s="17">
        <v>0.7433246374130249</v>
      </c>
      <c r="I50" s="17">
        <f t="shared" si="0"/>
        <v>-0.45012496948242187</v>
      </c>
      <c r="J50" s="17">
        <f t="shared" si="1"/>
        <v>-0.33458897973107016</v>
      </c>
      <c r="K50" s="19">
        <v>0</v>
      </c>
      <c r="L50" s="17">
        <v>1.7936111596556E-2</v>
      </c>
      <c r="M50" s="19">
        <v>0</v>
      </c>
      <c r="N50" s="17">
        <v>1.3889543539232E-2</v>
      </c>
      <c r="O50" s="19">
        <v>6.1523911426775157E-5</v>
      </c>
      <c r="P50" s="17">
        <v>0</v>
      </c>
      <c r="Q50" s="19">
        <v>0</v>
      </c>
      <c r="R50" s="17">
        <v>0</v>
      </c>
      <c r="S50" s="19">
        <v>0</v>
      </c>
    </row>
    <row r="51" spans="1:19" x14ac:dyDescent="0.25">
      <c r="A51" s="3">
        <v>50</v>
      </c>
      <c r="B51" s="23">
        <v>74.118506095356082</v>
      </c>
      <c r="C51" s="18">
        <v>44791.577256944445</v>
      </c>
      <c r="D51" s="23">
        <v>4.0196007629488273</v>
      </c>
      <c r="E51" s="19">
        <v>10</v>
      </c>
      <c r="F51" s="17">
        <v>1</v>
      </c>
      <c r="G51" s="19">
        <v>-2.8132810592651367</v>
      </c>
      <c r="H51" s="17">
        <v>0.74363231658935547</v>
      </c>
      <c r="I51" s="17">
        <f t="shared" si="0"/>
        <v>-0.45012496948242187</v>
      </c>
      <c r="J51" s="17">
        <f t="shared" si="1"/>
        <v>-0.33472747381092632</v>
      </c>
      <c r="K51" s="19">
        <v>0</v>
      </c>
      <c r="L51" s="17">
        <v>1.8725974524636001E-2</v>
      </c>
      <c r="M51" s="19">
        <v>0</v>
      </c>
      <c r="N51" s="17">
        <v>1.4476749729994E-2</v>
      </c>
      <c r="O51" s="19">
        <v>1.2305975542403758E-4</v>
      </c>
      <c r="P51" s="17">
        <v>0</v>
      </c>
      <c r="Q51" s="19">
        <v>0</v>
      </c>
      <c r="R51" s="17">
        <v>0</v>
      </c>
      <c r="S51" s="19">
        <v>0</v>
      </c>
    </row>
    <row r="52" spans="1:19" x14ac:dyDescent="0.25">
      <c r="A52" s="3">
        <v>51</v>
      </c>
      <c r="B52" s="23">
        <v>75.103050910275641</v>
      </c>
      <c r="C52" s="18">
        <v>44791.577268518522</v>
      </c>
      <c r="D52" s="23">
        <v>5.0041455739301357</v>
      </c>
      <c r="E52" s="19">
        <v>10</v>
      </c>
      <c r="F52" s="17">
        <v>1</v>
      </c>
      <c r="G52" s="19">
        <v>-2.8136510848999023</v>
      </c>
      <c r="H52" s="17">
        <v>0.74363231658935547</v>
      </c>
      <c r="I52" s="17">
        <f t="shared" si="0"/>
        <v>-0.45018417358398438</v>
      </c>
      <c r="J52" s="17">
        <f t="shared" si="1"/>
        <v>-0.3347714998941228</v>
      </c>
      <c r="K52" s="19">
        <v>0</v>
      </c>
      <c r="L52" s="17">
        <v>1.9495412779936001E-2</v>
      </c>
      <c r="M52" s="19">
        <v>0</v>
      </c>
      <c r="N52" s="17">
        <v>1.5048932643189E-2</v>
      </c>
      <c r="O52" s="19">
        <v>6.1535836721304804E-5</v>
      </c>
      <c r="P52" s="17">
        <v>0</v>
      </c>
      <c r="Q52" s="19">
        <v>0</v>
      </c>
      <c r="R52" s="17">
        <v>0</v>
      </c>
      <c r="S52" s="19">
        <v>0</v>
      </c>
    </row>
    <row r="53" spans="1:19" x14ac:dyDescent="0.25">
      <c r="A53" s="3">
        <v>52</v>
      </c>
      <c r="B53" s="23">
        <v>76.10790164690971</v>
      </c>
      <c r="C53" s="18">
        <v>44791.577280092592</v>
      </c>
      <c r="D53" s="23">
        <v>1.001654697451944</v>
      </c>
      <c r="E53" s="19">
        <v>11</v>
      </c>
      <c r="F53" s="17">
        <v>1</v>
      </c>
      <c r="G53" s="19">
        <v>-3.1254513263702393</v>
      </c>
      <c r="H53" s="17">
        <v>0.73409551382064819</v>
      </c>
      <c r="I53" s="17">
        <f t="shared" si="0"/>
        <v>-0.50007221221923825</v>
      </c>
      <c r="J53" s="17">
        <f t="shared" si="1"/>
        <v>-0.36710076757650995</v>
      </c>
      <c r="K53" s="19">
        <v>0</v>
      </c>
      <c r="L53" s="17">
        <v>2.0365129307941002E-2</v>
      </c>
      <c r="M53" s="19">
        <v>0</v>
      </c>
      <c r="N53" s="17">
        <v>1.5687288825911E-2</v>
      </c>
      <c r="O53" s="19">
        <v>-1.8458366685081273E-4</v>
      </c>
      <c r="P53" s="17">
        <v>0</v>
      </c>
      <c r="Q53" s="19">
        <v>0</v>
      </c>
      <c r="R53" s="17">
        <v>0</v>
      </c>
      <c r="S53" s="19">
        <v>0</v>
      </c>
    </row>
    <row r="54" spans="1:19" x14ac:dyDescent="0.25">
      <c r="A54" s="3">
        <v>53</v>
      </c>
      <c r="B54" s="23">
        <v>77.109873237717082</v>
      </c>
      <c r="C54" s="18">
        <v>44791.577291666676</v>
      </c>
      <c r="D54" s="23">
        <v>2.0036262843210619</v>
      </c>
      <c r="E54" s="19">
        <v>11</v>
      </c>
      <c r="F54" s="17">
        <v>1</v>
      </c>
      <c r="G54" s="19">
        <v>-3.1258213520050049</v>
      </c>
      <c r="H54" s="17">
        <v>0.73409551382064819</v>
      </c>
      <c r="I54" s="17">
        <f t="shared" si="0"/>
        <v>-0.50013141632080083</v>
      </c>
      <c r="J54" s="17">
        <f t="shared" si="1"/>
        <v>-0.36714422904186678</v>
      </c>
      <c r="K54" s="19">
        <v>0</v>
      </c>
      <c r="L54" s="17">
        <v>2.1235146654293002E-2</v>
      </c>
      <c r="M54" s="19">
        <v>0</v>
      </c>
      <c r="N54" s="17">
        <v>1.6326064814084999E-2</v>
      </c>
      <c r="O54" s="19">
        <v>-1.8458366685081273E-4</v>
      </c>
      <c r="P54" s="17">
        <v>0</v>
      </c>
      <c r="Q54" s="19">
        <v>0</v>
      </c>
      <c r="R54" s="17">
        <v>0</v>
      </c>
      <c r="S54" s="19">
        <v>0</v>
      </c>
    </row>
    <row r="55" spans="1:19" x14ac:dyDescent="0.25">
      <c r="A55" s="3">
        <v>54</v>
      </c>
      <c r="B55" s="23">
        <v>78.112867799692822</v>
      </c>
      <c r="C55" s="18">
        <v>44791.577303240738</v>
      </c>
      <c r="D55" s="23">
        <v>3.0066208462967801</v>
      </c>
      <c r="E55" s="19">
        <v>11</v>
      </c>
      <c r="F55" s="17">
        <v>1</v>
      </c>
      <c r="G55" s="19">
        <v>-3.1258213520050049</v>
      </c>
      <c r="H55" s="17">
        <v>0.73440313339233398</v>
      </c>
      <c r="I55" s="17">
        <f t="shared" si="0"/>
        <v>-0.50013141632080083</v>
      </c>
      <c r="J55" s="17">
        <f t="shared" si="1"/>
        <v>-0.36729807925394203</v>
      </c>
      <c r="K55" s="19">
        <v>0</v>
      </c>
      <c r="L55" s="17">
        <v>2.2106053129141E-2</v>
      </c>
      <c r="M55" s="19">
        <v>0</v>
      </c>
      <c r="N55" s="17">
        <v>1.6965621434324001E-2</v>
      </c>
      <c r="O55" s="19">
        <v>6.1523911426775157E-5</v>
      </c>
      <c r="P55" s="17">
        <v>0</v>
      </c>
      <c r="Q55" s="19">
        <v>0</v>
      </c>
      <c r="R55" s="17">
        <v>0</v>
      </c>
      <c r="S55" s="19">
        <v>0</v>
      </c>
    </row>
    <row r="56" spans="1:19" x14ac:dyDescent="0.25">
      <c r="A56" s="3">
        <v>55</v>
      </c>
      <c r="B56" s="23">
        <v>79.118787844016154</v>
      </c>
      <c r="C56" s="18">
        <v>44791.577314814815</v>
      </c>
      <c r="D56" s="23">
        <v>4.0125408942003711</v>
      </c>
      <c r="E56" s="19">
        <v>11</v>
      </c>
      <c r="F56" s="17">
        <v>1</v>
      </c>
      <c r="G56" s="19">
        <v>-3.1261911392211914</v>
      </c>
      <c r="H56" s="17">
        <v>0.73471081256866455</v>
      </c>
      <c r="I56" s="17">
        <f t="shared" si="0"/>
        <v>-0.50019058227539059</v>
      </c>
      <c r="J56" s="17">
        <f t="shared" si="1"/>
        <v>-0.36749542914274569</v>
      </c>
      <c r="K56" s="19">
        <v>0</v>
      </c>
      <c r="L56" s="17">
        <v>2.2979490624985E-2</v>
      </c>
      <c r="M56" s="19">
        <v>0</v>
      </c>
      <c r="N56" s="17">
        <v>1.7607221527003E-2</v>
      </c>
      <c r="O56" s="19">
        <v>1.2305975542403758E-4</v>
      </c>
      <c r="P56" s="17">
        <v>0</v>
      </c>
      <c r="Q56" s="19">
        <v>0</v>
      </c>
      <c r="R56" s="17">
        <v>0</v>
      </c>
      <c r="S56" s="19">
        <v>0</v>
      </c>
    </row>
    <row r="57" spans="1:19" x14ac:dyDescent="0.25">
      <c r="A57" s="3">
        <v>56</v>
      </c>
      <c r="B57" s="23">
        <v>80.106976379734419</v>
      </c>
      <c r="C57" s="18">
        <v>44791.577326388891</v>
      </c>
      <c r="D57" s="23">
        <v>5.0007294302766452</v>
      </c>
      <c r="E57" s="19">
        <v>11</v>
      </c>
      <c r="F57" s="17">
        <v>1</v>
      </c>
      <c r="G57" s="19">
        <v>-3.1258213520050049</v>
      </c>
      <c r="H57" s="17">
        <v>0.73501843214035034</v>
      </c>
      <c r="I57" s="17">
        <f t="shared" si="0"/>
        <v>-0.50013141632080083</v>
      </c>
      <c r="J57" s="17">
        <f t="shared" si="1"/>
        <v>-0.36760580948824784</v>
      </c>
      <c r="K57" s="19">
        <v>0</v>
      </c>
      <c r="L57" s="17">
        <v>2.3837519450461999E-2</v>
      </c>
      <c r="M57" s="19">
        <v>0</v>
      </c>
      <c r="N57" s="17">
        <v>1.8237656060082E-2</v>
      </c>
      <c r="O57" s="19">
        <v>1.2305975542403758E-4</v>
      </c>
      <c r="P57" s="17">
        <v>0</v>
      </c>
      <c r="Q57" s="19">
        <v>0</v>
      </c>
      <c r="R57" s="17">
        <v>0</v>
      </c>
      <c r="S57" s="19">
        <v>0</v>
      </c>
    </row>
    <row r="58" spans="1:19" x14ac:dyDescent="0.25">
      <c r="A58" s="3">
        <v>57</v>
      </c>
      <c r="B58" s="23">
        <v>81.112995931416947</v>
      </c>
      <c r="C58" s="18">
        <v>44791.577337962961</v>
      </c>
      <c r="D58" s="23">
        <v>1.0028271135043021</v>
      </c>
      <c r="E58" s="19">
        <v>12</v>
      </c>
      <c r="F58" s="17">
        <v>1</v>
      </c>
      <c r="G58" s="19">
        <v>-3.4383614063262939</v>
      </c>
      <c r="H58" s="17">
        <v>0.72578930854797363</v>
      </c>
      <c r="I58" s="17">
        <f t="shared" si="0"/>
        <v>-0.55013782501220698</v>
      </c>
      <c r="J58" s="17">
        <f t="shared" si="1"/>
        <v>-0.39928415162169584</v>
      </c>
      <c r="K58" s="19">
        <v>0</v>
      </c>
      <c r="L58" s="17">
        <v>2.4798203787722E-2</v>
      </c>
      <c r="M58" s="19">
        <v>0</v>
      </c>
      <c r="N58" s="17">
        <v>1.8934621902739E-2</v>
      </c>
      <c r="O58" s="19">
        <v>-6.1523911426775157E-5</v>
      </c>
      <c r="P58" s="17">
        <v>0</v>
      </c>
      <c r="Q58" s="19">
        <v>0</v>
      </c>
      <c r="R58" s="17">
        <v>0</v>
      </c>
      <c r="S58" s="19">
        <v>0</v>
      </c>
    </row>
    <row r="59" spans="1:19" x14ac:dyDescent="0.25">
      <c r="A59" s="3">
        <v>58</v>
      </c>
      <c r="B59" s="23">
        <v>82.11597599772297</v>
      </c>
      <c r="C59" s="18">
        <v>44791.577349537038</v>
      </c>
      <c r="D59" s="23">
        <v>2.005807168353555</v>
      </c>
      <c r="E59" s="19">
        <v>12</v>
      </c>
      <c r="F59" s="17">
        <v>1</v>
      </c>
      <c r="G59" s="19">
        <v>-3.4387311935424805</v>
      </c>
      <c r="H59" s="17">
        <v>0.72578930854797363</v>
      </c>
      <c r="I59" s="17">
        <f t="shared" si="0"/>
        <v>-0.55019699096679686</v>
      </c>
      <c r="J59" s="17">
        <f t="shared" si="1"/>
        <v>-0.39932709363896718</v>
      </c>
      <c r="K59" s="19">
        <v>0</v>
      </c>
      <c r="L59" s="17">
        <v>2.5756275401737E-2</v>
      </c>
      <c r="M59" s="19">
        <v>0</v>
      </c>
      <c r="N59" s="17">
        <v>1.9629823222289001E-2</v>
      </c>
      <c r="O59" s="19">
        <v>-6.1523911426775157E-5</v>
      </c>
      <c r="P59" s="17">
        <v>0</v>
      </c>
      <c r="Q59" s="19">
        <v>0</v>
      </c>
      <c r="R59" s="17">
        <v>0</v>
      </c>
      <c r="S59" s="19">
        <v>0</v>
      </c>
    </row>
    <row r="60" spans="1:19" x14ac:dyDescent="0.25">
      <c r="A60" s="3">
        <v>59</v>
      </c>
      <c r="B60" s="23">
        <v>83.120885228293901</v>
      </c>
      <c r="C60" s="18">
        <v>44791.577361111114</v>
      </c>
      <c r="D60" s="23">
        <v>3.0107163953442582</v>
      </c>
      <c r="E60" s="19">
        <v>12</v>
      </c>
      <c r="F60" s="17">
        <v>1</v>
      </c>
      <c r="G60" s="19">
        <v>-3.4387311935424805</v>
      </c>
      <c r="H60" s="17">
        <v>0.72609692811965942</v>
      </c>
      <c r="I60" s="17">
        <f t="shared" si="0"/>
        <v>-0.55019699096679686</v>
      </c>
      <c r="J60" s="17">
        <f t="shared" si="1"/>
        <v>-0.39949634500167119</v>
      </c>
      <c r="K60" s="19">
        <v>0</v>
      </c>
      <c r="L60" s="17">
        <v>2.6716182654119E-2</v>
      </c>
      <c r="M60" s="19">
        <v>0</v>
      </c>
      <c r="N60" s="17">
        <v>2.0326608128006001E-2</v>
      </c>
      <c r="O60" s="19">
        <v>1.2305975542403758E-4</v>
      </c>
      <c r="P60" s="17">
        <v>0</v>
      </c>
      <c r="Q60" s="19">
        <v>0</v>
      </c>
      <c r="R60" s="17">
        <v>0</v>
      </c>
      <c r="S60" s="19">
        <v>0</v>
      </c>
    </row>
    <row r="61" spans="1:19" x14ac:dyDescent="0.25">
      <c r="A61" s="3">
        <v>60</v>
      </c>
      <c r="B61" s="23">
        <v>84.122824215301222</v>
      </c>
      <c r="C61" s="18">
        <v>44791.577372685184</v>
      </c>
      <c r="D61" s="23">
        <v>4.0126553823515723</v>
      </c>
      <c r="E61" s="19">
        <v>12</v>
      </c>
      <c r="F61" s="17">
        <v>1</v>
      </c>
      <c r="G61" s="19">
        <v>-3.4383614063262939</v>
      </c>
      <c r="H61" s="17">
        <v>0.72640454769134521</v>
      </c>
      <c r="I61" s="17">
        <f t="shared" si="0"/>
        <v>-0.55013782501220698</v>
      </c>
      <c r="J61" s="17">
        <f t="shared" si="1"/>
        <v>-0.39962261794589266</v>
      </c>
      <c r="K61" s="19">
        <v>0</v>
      </c>
      <c r="L61" s="17">
        <v>2.7673264396916E-2</v>
      </c>
      <c r="M61" s="19">
        <v>0</v>
      </c>
      <c r="N61" s="17">
        <v>2.1021415954943001E-2</v>
      </c>
      <c r="O61" s="19">
        <v>6.1523911426775157E-5</v>
      </c>
      <c r="P61" s="17">
        <v>0</v>
      </c>
      <c r="Q61" s="19">
        <v>0</v>
      </c>
      <c r="R61" s="17">
        <v>0</v>
      </c>
      <c r="S61" s="19">
        <v>0</v>
      </c>
    </row>
    <row r="62" spans="1:19" x14ac:dyDescent="0.25">
      <c r="A62" s="3">
        <v>61</v>
      </c>
      <c r="B62" s="23">
        <v>85.12484225540706</v>
      </c>
      <c r="C62" s="18">
        <v>44791.577384259261</v>
      </c>
      <c r="D62" s="23">
        <v>5.0146734224574034</v>
      </c>
      <c r="E62" s="19">
        <v>12</v>
      </c>
      <c r="F62" s="17">
        <v>1</v>
      </c>
      <c r="G62" s="19">
        <v>-3.4383614063262939</v>
      </c>
      <c r="H62" s="17">
        <v>0.72609692811965942</v>
      </c>
      <c r="I62" s="17">
        <f t="shared" si="0"/>
        <v>-0.55013782501220698</v>
      </c>
      <c r="J62" s="17">
        <f t="shared" si="1"/>
        <v>-0.39945338478379422</v>
      </c>
      <c r="K62" s="19">
        <v>0</v>
      </c>
      <c r="L62" s="17">
        <v>2.8630396878974E-2</v>
      </c>
      <c r="M62" s="19">
        <v>0</v>
      </c>
      <c r="N62" s="17">
        <v>2.1716462793632998E-2</v>
      </c>
      <c r="O62" s="19">
        <v>1.2305975542403758E-4</v>
      </c>
      <c r="P62" s="17">
        <v>0</v>
      </c>
      <c r="Q62" s="19">
        <v>0</v>
      </c>
      <c r="R62" s="17">
        <v>0</v>
      </c>
      <c r="S62" s="19">
        <v>0</v>
      </c>
    </row>
    <row r="63" spans="1:19" x14ac:dyDescent="0.25">
      <c r="A63" s="3">
        <v>62</v>
      </c>
      <c r="B63" s="23">
        <v>86.131611675873856</v>
      </c>
      <c r="C63" s="18">
        <v>44791.57739583333</v>
      </c>
      <c r="D63" s="23">
        <v>1.0035956811582789</v>
      </c>
      <c r="E63" s="19">
        <v>13</v>
      </c>
      <c r="F63" s="17">
        <v>1</v>
      </c>
      <c r="G63" s="19">
        <v>-3.750901460647583</v>
      </c>
      <c r="H63" s="17">
        <v>0.7174830436706543</v>
      </c>
      <c r="I63" s="17">
        <f t="shared" si="0"/>
        <v>-0.60014423370361325</v>
      </c>
      <c r="J63" s="17">
        <f t="shared" si="1"/>
        <v>-0.43059331143906088</v>
      </c>
      <c r="K63" s="19">
        <v>0</v>
      </c>
      <c r="L63" s="17">
        <v>2.9676948816332E-2</v>
      </c>
      <c r="M63" s="19">
        <v>0</v>
      </c>
      <c r="N63" s="17">
        <v>2.2467342241596001E-2</v>
      </c>
      <c r="O63" s="19">
        <v>-1.7843007808551192E-3</v>
      </c>
      <c r="P63" s="17">
        <v>0</v>
      </c>
      <c r="Q63" s="19">
        <v>0</v>
      </c>
      <c r="R63" s="17">
        <v>0</v>
      </c>
      <c r="S63" s="19">
        <v>0</v>
      </c>
    </row>
    <row r="64" spans="1:19" x14ac:dyDescent="0.25">
      <c r="A64" s="3">
        <v>63</v>
      </c>
      <c r="B64" s="23">
        <v>87.133715393235505</v>
      </c>
      <c r="C64" s="18">
        <v>44791.577407407407</v>
      </c>
      <c r="D64" s="23">
        <v>2.0056993945816668</v>
      </c>
      <c r="E64" s="19">
        <v>13</v>
      </c>
      <c r="F64" s="17">
        <v>1</v>
      </c>
      <c r="G64" s="19">
        <v>-3.7512714862823486</v>
      </c>
      <c r="H64" s="17">
        <v>0.7174830436706543</v>
      </c>
      <c r="I64" s="17">
        <f t="shared" si="0"/>
        <v>-0.60020343780517582</v>
      </c>
      <c r="J64" s="17">
        <f t="shared" si="1"/>
        <v>-0.43063578937804781</v>
      </c>
      <c r="K64" s="19">
        <v>0</v>
      </c>
      <c r="L64" s="17">
        <v>3.0721196931340001E-2</v>
      </c>
      <c r="M64" s="19">
        <v>0</v>
      </c>
      <c r="N64" s="17">
        <v>2.3216416941139E-2</v>
      </c>
      <c r="O64" s="19">
        <v>-1.7843007808551192E-3</v>
      </c>
      <c r="P64" s="17">
        <v>0</v>
      </c>
      <c r="Q64" s="19">
        <v>0</v>
      </c>
      <c r="R64" s="17">
        <v>0</v>
      </c>
      <c r="S64" s="19">
        <v>0</v>
      </c>
    </row>
    <row r="65" spans="1:19" x14ac:dyDescent="0.25">
      <c r="A65" s="3">
        <v>64</v>
      </c>
      <c r="B65" s="23">
        <v>88.138673794802202</v>
      </c>
      <c r="C65" s="18">
        <v>44791.577418981491</v>
      </c>
      <c r="D65" s="23">
        <v>3.0106577961483789</v>
      </c>
      <c r="E65" s="19">
        <v>13</v>
      </c>
      <c r="F65" s="17">
        <v>1</v>
      </c>
      <c r="G65" s="19">
        <v>-3.7512714862823486</v>
      </c>
      <c r="H65" s="17">
        <v>0.7174830436706543</v>
      </c>
      <c r="I65" s="17">
        <f t="shared" si="0"/>
        <v>-0.60020343780517582</v>
      </c>
      <c r="J65" s="17">
        <f t="shared" si="1"/>
        <v>-0.43063578937804781</v>
      </c>
      <c r="K65" s="19">
        <v>0</v>
      </c>
      <c r="L65" s="17">
        <v>3.1768401291334999E-2</v>
      </c>
      <c r="M65" s="19">
        <v>0</v>
      </c>
      <c r="N65" s="17">
        <v>2.3967798420248002E-2</v>
      </c>
      <c r="O65" s="19">
        <v>-6.1535836721304804E-5</v>
      </c>
      <c r="P65" s="17">
        <v>0</v>
      </c>
      <c r="Q65" s="19">
        <v>0</v>
      </c>
      <c r="R65" s="17">
        <v>0</v>
      </c>
      <c r="S65" s="19">
        <v>0</v>
      </c>
    </row>
    <row r="66" spans="1:19" x14ac:dyDescent="0.25">
      <c r="A66" s="3">
        <v>65</v>
      </c>
      <c r="B66" s="23">
        <v>89.147503856274909</v>
      </c>
      <c r="C66" s="18">
        <v>44791.577430555553</v>
      </c>
      <c r="D66" s="23">
        <v>4.0194878612013127</v>
      </c>
      <c r="E66" s="19">
        <v>13</v>
      </c>
      <c r="F66" s="17">
        <v>1</v>
      </c>
      <c r="G66" s="19">
        <v>-3.7516412734985352</v>
      </c>
      <c r="H66" s="17">
        <v>0.7174830436706543</v>
      </c>
      <c r="I66" s="17">
        <f t="shared" si="0"/>
        <v>-0.60026260375976559</v>
      </c>
      <c r="J66" s="17">
        <f t="shared" si="1"/>
        <v>-0.43067823994722854</v>
      </c>
      <c r="K66" s="19">
        <v>0</v>
      </c>
      <c r="L66" s="17">
        <v>3.2819635913646998E-2</v>
      </c>
      <c r="M66" s="19">
        <v>0</v>
      </c>
      <c r="N66" s="17">
        <v>2.4722182802960999E-2</v>
      </c>
      <c r="O66" s="19">
        <v>0</v>
      </c>
      <c r="P66" s="17">
        <v>0</v>
      </c>
      <c r="Q66" s="19">
        <v>0</v>
      </c>
      <c r="R66" s="17">
        <v>0</v>
      </c>
      <c r="S66" s="19">
        <v>0</v>
      </c>
    </row>
    <row r="67" spans="1:19" x14ac:dyDescent="0.25">
      <c r="A67" s="3">
        <v>66</v>
      </c>
      <c r="B67" s="23">
        <v>90.133797068142684</v>
      </c>
      <c r="C67" s="18">
        <v>44791.57744212963</v>
      </c>
      <c r="D67" s="23">
        <v>5.0057810734271113</v>
      </c>
      <c r="E67" s="19">
        <v>13</v>
      </c>
      <c r="F67" s="17">
        <v>1</v>
      </c>
      <c r="G67" s="19">
        <v>-3.7516412734985352</v>
      </c>
      <c r="H67" s="17">
        <v>0.71779072284698486</v>
      </c>
      <c r="I67" s="17">
        <f t="shared" si="0"/>
        <v>-0.60026260375976559</v>
      </c>
      <c r="J67" s="17">
        <f t="shared" si="1"/>
        <v>-0.43086292825073541</v>
      </c>
      <c r="K67" s="19">
        <v>0</v>
      </c>
      <c r="L67" s="17">
        <v>3.3847413275420998E-2</v>
      </c>
      <c r="M67" s="19">
        <v>0</v>
      </c>
      <c r="N67" s="17">
        <v>2.5459813961408999E-2</v>
      </c>
      <c r="O67" s="19">
        <v>6.1535836721304804E-5</v>
      </c>
      <c r="P67" s="17">
        <v>0</v>
      </c>
      <c r="Q67" s="19">
        <v>0</v>
      </c>
      <c r="R67" s="17">
        <v>0</v>
      </c>
      <c r="S67" s="19">
        <v>0</v>
      </c>
    </row>
    <row r="68" spans="1:19" x14ac:dyDescent="0.25">
      <c r="A68" s="3">
        <v>67</v>
      </c>
      <c r="B68" s="23">
        <v>91.137726172259605</v>
      </c>
      <c r="C68" s="18">
        <v>44791.577453703707</v>
      </c>
      <c r="D68" s="23">
        <v>1.001037559924242</v>
      </c>
      <c r="E68" s="19">
        <v>14</v>
      </c>
      <c r="F68" s="17">
        <v>1</v>
      </c>
      <c r="G68" s="19">
        <v>-4.0638117790222168</v>
      </c>
      <c r="H68" s="17">
        <v>0.70917683839797974</v>
      </c>
      <c r="I68" s="17">
        <f t="shared" si="0"/>
        <v>-0.65020988464355467</v>
      </c>
      <c r="J68" s="17">
        <f t="shared" si="1"/>
        <v>-0.46111379028663124</v>
      </c>
      <c r="K68" s="19">
        <v>0</v>
      </c>
      <c r="L68" s="17">
        <v>3.4977650546758998E-2</v>
      </c>
      <c r="M68" s="19">
        <v>0</v>
      </c>
      <c r="N68" s="17">
        <v>2.6261753306057001E-2</v>
      </c>
      <c r="O68" s="19">
        <v>-1.7227769130840898E-3</v>
      </c>
      <c r="P68" s="17">
        <v>0</v>
      </c>
      <c r="Q68" s="19">
        <v>0</v>
      </c>
      <c r="R68" s="17">
        <v>0</v>
      </c>
      <c r="S68" s="19">
        <v>0</v>
      </c>
    </row>
    <row r="69" spans="1:19" x14ac:dyDescent="0.25">
      <c r="A69" s="3">
        <v>68</v>
      </c>
      <c r="B69" s="23">
        <v>92.139745125684271</v>
      </c>
      <c r="C69" s="18">
        <v>44791.577465277776</v>
      </c>
      <c r="D69" s="23">
        <v>2.0030565022501801</v>
      </c>
      <c r="E69" s="19">
        <v>14</v>
      </c>
      <c r="F69" s="17">
        <v>1</v>
      </c>
      <c r="G69" s="19">
        <v>-4.0638117790222168</v>
      </c>
      <c r="H69" s="17">
        <v>0.70948445796966553</v>
      </c>
      <c r="I69" s="17">
        <f t="shared" si="0"/>
        <v>-0.65020988464355467</v>
      </c>
      <c r="J69" s="17">
        <f t="shared" si="1"/>
        <v>-0.46131380757285112</v>
      </c>
      <c r="K69" s="19">
        <v>0</v>
      </c>
      <c r="L69" s="17">
        <v>3.6108872411779E-2</v>
      </c>
      <c r="M69" s="19">
        <v>0</v>
      </c>
      <c r="N69" s="17">
        <v>2.7064123043867998E-2</v>
      </c>
      <c r="O69" s="19">
        <v>-1.6612529288977385E-3</v>
      </c>
      <c r="P69" s="17">
        <v>0</v>
      </c>
      <c r="Q69" s="19">
        <v>0</v>
      </c>
      <c r="R69" s="17">
        <v>0</v>
      </c>
      <c r="S69" s="19">
        <v>0</v>
      </c>
    </row>
    <row r="70" spans="1:19" x14ac:dyDescent="0.25">
      <c r="A70" s="3">
        <v>69</v>
      </c>
      <c r="B70" s="23">
        <v>93.142697012648981</v>
      </c>
      <c r="C70" s="18">
        <v>44791.577476851853</v>
      </c>
      <c r="D70" s="23">
        <v>3.0060083816963892</v>
      </c>
      <c r="E70" s="19">
        <v>14</v>
      </c>
      <c r="F70" s="17">
        <v>1</v>
      </c>
      <c r="G70" s="19">
        <v>-4.0638117790222168</v>
      </c>
      <c r="H70" s="17">
        <v>0.70948445796966553</v>
      </c>
      <c r="I70" s="17">
        <f t="shared" si="0"/>
        <v>-0.65020988464355467</v>
      </c>
      <c r="J70" s="17">
        <f t="shared" si="1"/>
        <v>-0.46131380757285112</v>
      </c>
      <c r="K70" s="19">
        <v>0</v>
      </c>
      <c r="L70" s="17">
        <v>3.7241126596876999E-2</v>
      </c>
      <c r="M70" s="19">
        <v>0</v>
      </c>
      <c r="N70" s="17">
        <v>2.7867407385508001E-2</v>
      </c>
      <c r="O70" s="19">
        <v>6.1523911426775157E-5</v>
      </c>
      <c r="P70" s="17">
        <v>0</v>
      </c>
      <c r="Q70" s="19">
        <v>0</v>
      </c>
      <c r="R70" s="17">
        <v>0</v>
      </c>
      <c r="S70" s="19">
        <v>0</v>
      </c>
    </row>
    <row r="71" spans="1:19" x14ac:dyDescent="0.25">
      <c r="A71" s="3">
        <v>70</v>
      </c>
      <c r="B71" s="23">
        <v>94.147611480034797</v>
      </c>
      <c r="C71" s="18">
        <v>44791.577488425923</v>
      </c>
      <c r="D71" s="23">
        <v>4.0109228490822053</v>
      </c>
      <c r="E71" s="19">
        <v>14</v>
      </c>
      <c r="F71" s="17">
        <v>1</v>
      </c>
      <c r="G71" s="19">
        <v>-4.0645513534545898</v>
      </c>
      <c r="H71" s="17">
        <v>0.70979207754135132</v>
      </c>
      <c r="I71" s="17">
        <f t="shared" si="0"/>
        <v>-0.65032821655273443</v>
      </c>
      <c r="J71" s="17">
        <f t="shared" si="1"/>
        <v>-0.46159781591072718</v>
      </c>
      <c r="K71" s="19">
        <v>0</v>
      </c>
      <c r="L71" s="17">
        <v>3.8375586645965999E-2</v>
      </c>
      <c r="M71" s="19">
        <v>0</v>
      </c>
      <c r="N71" s="17">
        <v>2.8672324658387999E-2</v>
      </c>
      <c r="O71" s="19">
        <v>6.1523911426775157E-5</v>
      </c>
      <c r="P71" s="17">
        <v>0</v>
      </c>
      <c r="Q71" s="19">
        <v>0</v>
      </c>
      <c r="R71" s="17">
        <v>0</v>
      </c>
      <c r="S71" s="19">
        <v>0</v>
      </c>
    </row>
    <row r="72" spans="1:19" x14ac:dyDescent="0.25">
      <c r="A72" s="3">
        <v>71</v>
      </c>
      <c r="B72" s="23">
        <v>95.140837328640828</v>
      </c>
      <c r="C72" s="18">
        <v>44791.577499999999</v>
      </c>
      <c r="D72" s="23">
        <v>5.0041486976882386</v>
      </c>
      <c r="E72" s="19">
        <v>14</v>
      </c>
      <c r="F72" s="17">
        <v>1</v>
      </c>
      <c r="G72" s="19">
        <v>-4.0641818046569824</v>
      </c>
      <c r="H72" s="17">
        <v>0.70948445796966553</v>
      </c>
      <c r="I72" s="17">
        <f t="shared" si="0"/>
        <v>-0.65026908874511724</v>
      </c>
      <c r="J72" s="17">
        <f t="shared" si="1"/>
        <v>-0.46135581196275782</v>
      </c>
      <c r="K72" s="19">
        <v>0</v>
      </c>
      <c r="L72" s="17">
        <v>3.9496859849304997E-2</v>
      </c>
      <c r="M72" s="19">
        <v>0</v>
      </c>
      <c r="N72" s="17">
        <v>2.9467946553611998E-2</v>
      </c>
      <c r="O72" s="19">
        <v>0</v>
      </c>
      <c r="P72" s="17">
        <v>0</v>
      </c>
      <c r="Q72" s="19">
        <v>0</v>
      </c>
      <c r="R72" s="17">
        <v>0</v>
      </c>
      <c r="S72" s="19">
        <v>0</v>
      </c>
    </row>
    <row r="73" spans="1:19" x14ac:dyDescent="0.25">
      <c r="A73" s="3">
        <v>72</v>
      </c>
      <c r="B73" s="23">
        <v>96.147716865429587</v>
      </c>
      <c r="C73" s="18">
        <v>44791.577511574083</v>
      </c>
      <c r="D73" s="23">
        <v>1.00370430845903</v>
      </c>
      <c r="E73" s="19">
        <v>15</v>
      </c>
      <c r="F73" s="17">
        <v>1</v>
      </c>
      <c r="G73" s="19">
        <v>-4.3770918846130371</v>
      </c>
      <c r="H73" s="17">
        <v>0.70117825269699097</v>
      </c>
      <c r="I73" s="17">
        <f t="shared" ref="I73:I136" si="2">G73/6.25</f>
        <v>-0.70033470153808597</v>
      </c>
      <c r="J73" s="17">
        <f t="shared" ref="J73:J136" si="3">H73*I73</f>
        <v>-0.49105946232754377</v>
      </c>
      <c r="K73" s="19">
        <v>0</v>
      </c>
      <c r="L73" s="17">
        <v>4.0718391037188002E-2</v>
      </c>
      <c r="M73" s="19">
        <v>0</v>
      </c>
      <c r="N73" s="17">
        <v>3.0324557553684999E-2</v>
      </c>
      <c r="O73" s="19">
        <v>-1.7227649223059416E-3</v>
      </c>
      <c r="P73" s="17">
        <v>0</v>
      </c>
      <c r="Q73" s="19">
        <v>0</v>
      </c>
      <c r="R73" s="17">
        <v>0</v>
      </c>
      <c r="S73" s="19">
        <v>0</v>
      </c>
    </row>
    <row r="74" spans="1:19" x14ac:dyDescent="0.25">
      <c r="A74" s="3">
        <v>73</v>
      </c>
      <c r="B74" s="23">
        <v>97.149685922502158</v>
      </c>
      <c r="C74" s="18">
        <v>44791.577523148146</v>
      </c>
      <c r="D74" s="23">
        <v>2.0056733655316119</v>
      </c>
      <c r="E74" s="19">
        <v>15</v>
      </c>
      <c r="F74" s="17">
        <v>1</v>
      </c>
      <c r="G74" s="19">
        <v>-4.3767218589782715</v>
      </c>
      <c r="H74" s="17">
        <v>0.70148587226867676</v>
      </c>
      <c r="I74" s="17">
        <f t="shared" si="2"/>
        <v>-0.7002754974365234</v>
      </c>
      <c r="J74" s="17">
        <f t="shared" si="3"/>
        <v>-0.49123336814764113</v>
      </c>
      <c r="K74" s="19">
        <v>0</v>
      </c>
      <c r="L74" s="17">
        <v>4.1936519252461002E-2</v>
      </c>
      <c r="M74" s="19">
        <v>0</v>
      </c>
      <c r="N74" s="17">
        <v>3.1178568423768999E-2</v>
      </c>
      <c r="O74" s="19">
        <v>-1.6612410545349121E-3</v>
      </c>
      <c r="P74" s="17">
        <v>0</v>
      </c>
      <c r="Q74" s="19">
        <v>0</v>
      </c>
      <c r="R74" s="17">
        <v>0</v>
      </c>
      <c r="S74" s="19">
        <v>0</v>
      </c>
    </row>
    <row r="75" spans="1:19" x14ac:dyDescent="0.25">
      <c r="A75" s="3">
        <v>74</v>
      </c>
      <c r="B75" s="23">
        <v>98.154602833400759</v>
      </c>
      <c r="C75" s="18">
        <v>44791.577534722222</v>
      </c>
      <c r="D75" s="23">
        <v>3.0105903666522269</v>
      </c>
      <c r="E75" s="19">
        <v>15</v>
      </c>
      <c r="F75" s="17">
        <v>1</v>
      </c>
      <c r="G75" s="19">
        <v>-4.3763518333435059</v>
      </c>
      <c r="H75" s="17">
        <v>0.70179349184036255</v>
      </c>
      <c r="I75" s="17">
        <f t="shared" si="2"/>
        <v>-0.70021629333496094</v>
      </c>
      <c r="J75" s="17">
        <f t="shared" si="3"/>
        <v>-0.49140723754305782</v>
      </c>
      <c r="K75" s="19">
        <v>0</v>
      </c>
      <c r="L75" s="17">
        <v>4.3158215378200998E-2</v>
      </c>
      <c r="M75" s="19">
        <v>0</v>
      </c>
      <c r="N75" s="17">
        <v>3.2035286306678998E-2</v>
      </c>
      <c r="O75" s="19">
        <v>6.1523911426775157E-5</v>
      </c>
      <c r="P75" s="17">
        <v>0</v>
      </c>
      <c r="Q75" s="19">
        <v>0</v>
      </c>
      <c r="R75" s="17">
        <v>0</v>
      </c>
      <c r="S75" s="19">
        <v>0</v>
      </c>
    </row>
    <row r="76" spans="1:19" x14ac:dyDescent="0.25">
      <c r="A76" s="3">
        <v>75</v>
      </c>
      <c r="B76" s="23">
        <v>99.15849371703942</v>
      </c>
      <c r="C76" s="18">
        <v>44791.577546296299</v>
      </c>
      <c r="D76" s="23">
        <v>4.0144811751058853</v>
      </c>
      <c r="E76" s="19">
        <v>15</v>
      </c>
      <c r="F76" s="17">
        <v>1</v>
      </c>
      <c r="G76" s="19">
        <v>-4.3770918846130371</v>
      </c>
      <c r="H76" s="17">
        <v>0.70148587226867676</v>
      </c>
      <c r="I76" s="17">
        <f t="shared" si="2"/>
        <v>-0.70033470153808597</v>
      </c>
      <c r="J76" s="17">
        <f t="shared" si="3"/>
        <v>-0.49127489898846766</v>
      </c>
      <c r="K76" s="19">
        <v>0</v>
      </c>
      <c r="L76" s="17">
        <v>4.4378674192874001E-2</v>
      </c>
      <c r="M76" s="19">
        <v>0</v>
      </c>
      <c r="N76" s="17">
        <v>3.2891206765585997E-2</v>
      </c>
      <c r="O76" s="19">
        <v>6.1523911426775157E-5</v>
      </c>
      <c r="P76" s="17">
        <v>0</v>
      </c>
      <c r="Q76" s="19">
        <v>0</v>
      </c>
      <c r="R76" s="17">
        <v>0</v>
      </c>
      <c r="S76" s="19">
        <v>0</v>
      </c>
    </row>
    <row r="77" spans="1:19" x14ac:dyDescent="0.25">
      <c r="A77" s="3">
        <v>76</v>
      </c>
      <c r="B77" s="23">
        <v>100.15073289021916</v>
      </c>
      <c r="C77" s="18">
        <v>44791.577557870369</v>
      </c>
      <c r="D77" s="23">
        <v>5.0067203296683616</v>
      </c>
      <c r="E77" s="19">
        <v>15</v>
      </c>
      <c r="F77" s="17">
        <v>1</v>
      </c>
      <c r="G77" s="19">
        <v>-4.3770918846130371</v>
      </c>
      <c r="H77" s="17">
        <v>0.70148587226867676</v>
      </c>
      <c r="I77" s="17">
        <f t="shared" si="2"/>
        <v>-0.70033470153808597</v>
      </c>
      <c r="J77" s="17">
        <f t="shared" si="3"/>
        <v>-0.49127489898846766</v>
      </c>
      <c r="K77" s="19">
        <v>0</v>
      </c>
      <c r="L77" s="17">
        <v>4.5527976969630998E-2</v>
      </c>
      <c r="M77" s="19">
        <v>0</v>
      </c>
      <c r="N77" s="17">
        <v>3.3697337788920999E-2</v>
      </c>
      <c r="O77" s="19">
        <v>6.1523911426775157E-5</v>
      </c>
      <c r="P77" s="17">
        <v>0</v>
      </c>
      <c r="Q77" s="19">
        <v>0</v>
      </c>
      <c r="R77" s="17">
        <v>0</v>
      </c>
      <c r="S77" s="19">
        <v>0</v>
      </c>
    </row>
    <row r="78" spans="1:19" x14ac:dyDescent="0.25">
      <c r="A78" s="3">
        <v>77</v>
      </c>
      <c r="B78" s="23">
        <v>101.16830738173576</v>
      </c>
      <c r="C78" s="18">
        <v>44791.577569444446</v>
      </c>
      <c r="D78" s="23">
        <v>1.0148124384646511</v>
      </c>
      <c r="E78" s="19">
        <v>16</v>
      </c>
      <c r="F78" s="17">
        <v>1</v>
      </c>
      <c r="G78" s="19">
        <v>-4.6888918876647949</v>
      </c>
      <c r="H78" s="17">
        <v>0.6931796669960022</v>
      </c>
      <c r="I78" s="17">
        <f t="shared" si="2"/>
        <v>-0.75022270202636721</v>
      </c>
      <c r="J78" s="17">
        <f t="shared" si="3"/>
        <v>-0.52003912276347819</v>
      </c>
      <c r="K78" s="19">
        <v>0</v>
      </c>
      <c r="L78" s="17">
        <v>4.6849707803810002E-2</v>
      </c>
      <c r="M78" s="19">
        <v>0</v>
      </c>
      <c r="N78" s="17">
        <v>3.4613478429308002E-2</v>
      </c>
      <c r="O78" s="19">
        <v>0</v>
      </c>
      <c r="P78" s="17">
        <v>0</v>
      </c>
      <c r="Q78" s="19">
        <v>0</v>
      </c>
      <c r="R78" s="17">
        <v>0</v>
      </c>
      <c r="S78" s="19">
        <v>0</v>
      </c>
    </row>
    <row r="79" spans="1:19" x14ac:dyDescent="0.25">
      <c r="A79" s="3">
        <v>78</v>
      </c>
      <c r="B79" s="23">
        <v>102.17035712342155</v>
      </c>
      <c r="C79" s="18">
        <v>44791.577581018515</v>
      </c>
      <c r="D79" s="23">
        <v>2.0168619474349381</v>
      </c>
      <c r="E79" s="19">
        <v>16</v>
      </c>
      <c r="F79" s="17">
        <v>1</v>
      </c>
      <c r="G79" s="19">
        <v>-4.6892619132995605</v>
      </c>
      <c r="H79" s="17">
        <v>0.69287198781967163</v>
      </c>
      <c r="I79" s="17">
        <f t="shared" si="2"/>
        <v>-0.75028190612792967</v>
      </c>
      <c r="J79" s="17">
        <f t="shared" si="3"/>
        <v>-0.51984931572399085</v>
      </c>
      <c r="K79" s="19">
        <v>0</v>
      </c>
      <c r="L79" s="17">
        <v>4.8154883367707998E-2</v>
      </c>
      <c r="M79" s="19">
        <v>0</v>
      </c>
      <c r="N79" s="17">
        <v>3.5518246698837998E-2</v>
      </c>
      <c r="O79" s="19">
        <v>-6.1535836721304804E-5</v>
      </c>
      <c r="P79" s="17">
        <v>0</v>
      </c>
      <c r="Q79" s="19">
        <v>0</v>
      </c>
      <c r="R79" s="17">
        <v>0</v>
      </c>
      <c r="S79" s="19">
        <v>0</v>
      </c>
    </row>
    <row r="80" spans="1:19" x14ac:dyDescent="0.25">
      <c r="A80" s="3">
        <v>79</v>
      </c>
      <c r="B80" s="23">
        <v>103.1704033579057</v>
      </c>
      <c r="C80" s="18">
        <v>44791.577592592592</v>
      </c>
      <c r="D80" s="23">
        <v>3.0169081815610559</v>
      </c>
      <c r="E80" s="19">
        <v>16</v>
      </c>
      <c r="F80" s="17">
        <v>1</v>
      </c>
      <c r="G80" s="19">
        <v>-4.6892619132995605</v>
      </c>
      <c r="H80" s="17">
        <v>0.69348728656768799</v>
      </c>
      <c r="I80" s="17">
        <f t="shared" si="2"/>
        <v>-0.75028190612792967</v>
      </c>
      <c r="J80" s="17">
        <f t="shared" si="3"/>
        <v>-0.52031096324149073</v>
      </c>
      <c r="K80" s="19">
        <v>0</v>
      </c>
      <c r="L80" s="17">
        <v>4.9457439287892001E-2</v>
      </c>
      <c r="M80" s="19">
        <v>0</v>
      </c>
      <c r="N80" s="17">
        <v>3.6421383585432003E-2</v>
      </c>
      <c r="O80" s="19">
        <v>6.1523911426775157E-5</v>
      </c>
      <c r="P80" s="17">
        <v>0</v>
      </c>
      <c r="Q80" s="19">
        <v>0</v>
      </c>
      <c r="R80" s="17">
        <v>0</v>
      </c>
      <c r="S80" s="19">
        <v>0</v>
      </c>
    </row>
    <row r="81" spans="1:19" x14ac:dyDescent="0.25">
      <c r="A81" s="3">
        <v>80</v>
      </c>
      <c r="B81" s="23">
        <v>104.17335258690134</v>
      </c>
      <c r="C81" s="18">
        <v>44791.577604166669</v>
      </c>
      <c r="D81" s="23">
        <v>4.0198574105566909</v>
      </c>
      <c r="E81" s="19">
        <v>16</v>
      </c>
      <c r="F81" s="17">
        <v>1</v>
      </c>
      <c r="G81" s="19">
        <v>-4.6892619132995605</v>
      </c>
      <c r="H81" s="17">
        <v>0.69348728656768799</v>
      </c>
      <c r="I81" s="17">
        <f t="shared" si="2"/>
        <v>-0.75028190612792967</v>
      </c>
      <c r="J81" s="17">
        <f t="shared" si="3"/>
        <v>-0.52031096324149073</v>
      </c>
      <c r="K81" s="19">
        <v>0</v>
      </c>
      <c r="L81" s="17">
        <v>5.0763808560590998E-2</v>
      </c>
      <c r="M81" s="19">
        <v>0</v>
      </c>
      <c r="N81" s="17">
        <v>3.7327176971634998E-2</v>
      </c>
      <c r="O81" s="19">
        <v>6.1523911426775157E-5</v>
      </c>
      <c r="P81" s="17">
        <v>0</v>
      </c>
      <c r="Q81" s="19">
        <v>0</v>
      </c>
      <c r="R81" s="17">
        <v>0</v>
      </c>
      <c r="S81" s="19">
        <v>0</v>
      </c>
    </row>
    <row r="82" spans="1:19" x14ac:dyDescent="0.25">
      <c r="A82" s="3">
        <v>81</v>
      </c>
      <c r="B82" s="23">
        <v>105.16363858888479</v>
      </c>
      <c r="C82" s="18">
        <v>44791.577615740738</v>
      </c>
      <c r="D82" s="23">
        <v>5.0101434089599053</v>
      </c>
      <c r="E82" s="19">
        <v>16</v>
      </c>
      <c r="F82" s="17">
        <v>1</v>
      </c>
      <c r="G82" s="19">
        <v>-4.6892619132995605</v>
      </c>
      <c r="H82" s="17">
        <v>0.69348728656768799</v>
      </c>
      <c r="I82" s="17">
        <f t="shared" si="2"/>
        <v>-0.75028190612792967</v>
      </c>
      <c r="J82" s="17">
        <f t="shared" si="3"/>
        <v>-0.52031096324149073</v>
      </c>
      <c r="K82" s="19">
        <v>0</v>
      </c>
      <c r="L82" s="17">
        <v>5.2053655506079002E-2</v>
      </c>
      <c r="M82" s="19">
        <v>0</v>
      </c>
      <c r="N82" s="17">
        <v>3.8221600286284997E-2</v>
      </c>
      <c r="O82" s="19">
        <v>0</v>
      </c>
      <c r="P82" s="17">
        <v>0</v>
      </c>
      <c r="Q82" s="19">
        <v>0</v>
      </c>
      <c r="R82" s="17">
        <v>0</v>
      </c>
      <c r="S82" s="19">
        <v>0</v>
      </c>
    </row>
    <row r="83" spans="1:19" x14ac:dyDescent="0.25">
      <c r="A83" s="3">
        <v>82</v>
      </c>
      <c r="B83" s="23">
        <v>106.16756686596661</v>
      </c>
      <c r="C83" s="18">
        <v>44791.577627314815</v>
      </c>
      <c r="D83" s="23">
        <v>1.0007400077333151</v>
      </c>
      <c r="E83" s="19">
        <v>17</v>
      </c>
      <c r="F83" s="17">
        <v>1</v>
      </c>
      <c r="G83" s="19">
        <v>-5.0018019676208496</v>
      </c>
      <c r="H83" s="17">
        <v>0.68548870086669922</v>
      </c>
      <c r="I83" s="17">
        <f t="shared" si="2"/>
        <v>-0.80028831481933593</v>
      </c>
      <c r="J83" s="17">
        <f t="shared" si="3"/>
        <v>-0.54858859724430653</v>
      </c>
      <c r="K83" s="19">
        <v>0</v>
      </c>
      <c r="L83" s="17">
        <v>5.3448163309143003E-2</v>
      </c>
      <c r="M83" s="19">
        <v>0</v>
      </c>
      <c r="N83" s="17">
        <v>3.9177332340556002E-2</v>
      </c>
      <c r="O83" s="19">
        <v>0</v>
      </c>
      <c r="P83" s="17">
        <v>0</v>
      </c>
      <c r="Q83" s="19">
        <v>0</v>
      </c>
      <c r="R83" s="17">
        <v>0</v>
      </c>
      <c r="S83" s="19">
        <v>0</v>
      </c>
    </row>
    <row r="84" spans="1:19" x14ac:dyDescent="0.25">
      <c r="A84" s="3">
        <v>83</v>
      </c>
      <c r="B84" s="23">
        <v>107.16865822434492</v>
      </c>
      <c r="C84" s="18">
        <v>44791.577638888899</v>
      </c>
      <c r="D84" s="23">
        <v>2.0018313661116109</v>
      </c>
      <c r="E84" s="19">
        <v>17</v>
      </c>
      <c r="F84" s="17">
        <v>1</v>
      </c>
      <c r="G84" s="19">
        <v>-5.0018019676208496</v>
      </c>
      <c r="H84" s="17">
        <v>0.68548870086669922</v>
      </c>
      <c r="I84" s="17">
        <f t="shared" si="2"/>
        <v>-0.80028831481933593</v>
      </c>
      <c r="J84" s="17">
        <f t="shared" si="3"/>
        <v>-0.54858859724430653</v>
      </c>
      <c r="K84" s="19">
        <v>0</v>
      </c>
      <c r="L84" s="17">
        <v>5.4838995251695E-2</v>
      </c>
      <c r="M84" s="19">
        <v>0</v>
      </c>
      <c r="N84" s="17">
        <v>4.0130665278198002E-2</v>
      </c>
      <c r="O84" s="19">
        <v>0</v>
      </c>
      <c r="P84" s="17">
        <v>0</v>
      </c>
      <c r="Q84" s="19">
        <v>0</v>
      </c>
      <c r="R84" s="17">
        <v>0</v>
      </c>
      <c r="S84" s="19">
        <v>0</v>
      </c>
    </row>
    <row r="85" spans="1:19" x14ac:dyDescent="0.25">
      <c r="A85" s="3">
        <v>84</v>
      </c>
      <c r="B85" s="23">
        <v>108.1744763929813</v>
      </c>
      <c r="C85" s="18">
        <v>44791.577650462961</v>
      </c>
      <c r="D85" s="23">
        <v>3.0076495347480048</v>
      </c>
      <c r="E85" s="19">
        <v>17</v>
      </c>
      <c r="F85" s="17">
        <v>1</v>
      </c>
      <c r="G85" s="19">
        <v>-5.0010623931884766</v>
      </c>
      <c r="H85" s="17">
        <v>0.68548870086669922</v>
      </c>
      <c r="I85" s="17">
        <f t="shared" si="2"/>
        <v>-0.80016998291015629</v>
      </c>
      <c r="J85" s="17">
        <f t="shared" si="3"/>
        <v>-0.54850748205761191</v>
      </c>
      <c r="K85" s="19">
        <v>0</v>
      </c>
      <c r="L85" s="17">
        <v>5.6236408639494001E-2</v>
      </c>
      <c r="M85" s="19">
        <v>0</v>
      </c>
      <c r="N85" s="17">
        <v>4.1088610555159999E-2</v>
      </c>
      <c r="O85" s="19">
        <v>-6.1523911426775157E-5</v>
      </c>
      <c r="P85" s="17">
        <v>0</v>
      </c>
      <c r="Q85" s="19">
        <v>0</v>
      </c>
      <c r="R85" s="17">
        <v>0</v>
      </c>
      <c r="S85" s="19">
        <v>0</v>
      </c>
    </row>
    <row r="86" spans="1:19" x14ac:dyDescent="0.25">
      <c r="A86" s="3">
        <v>85</v>
      </c>
      <c r="B86" s="23">
        <v>109.17844734113586</v>
      </c>
      <c r="C86" s="18">
        <v>44791.577662037038</v>
      </c>
      <c r="D86" s="23">
        <v>4.011620482902571</v>
      </c>
      <c r="E86" s="19">
        <v>17</v>
      </c>
      <c r="F86" s="17">
        <v>1</v>
      </c>
      <c r="G86" s="19">
        <v>-5.0014324188232422</v>
      </c>
      <c r="H86" s="17">
        <v>0.68548870086669922</v>
      </c>
      <c r="I86" s="17">
        <f t="shared" si="2"/>
        <v>-0.80022918701171875</v>
      </c>
      <c r="J86" s="17">
        <f t="shared" si="3"/>
        <v>-0.54854806580027793</v>
      </c>
      <c r="K86" s="19">
        <v>0</v>
      </c>
      <c r="L86" s="17">
        <v>5.7631251504379997E-2</v>
      </c>
      <c r="M86" s="19">
        <v>0</v>
      </c>
      <c r="N86" s="17">
        <v>4.2044820532908998E-2</v>
      </c>
      <c r="O86" s="19">
        <v>0</v>
      </c>
      <c r="P86" s="17">
        <v>0</v>
      </c>
      <c r="Q86" s="19">
        <v>0</v>
      </c>
      <c r="R86" s="17">
        <v>0</v>
      </c>
      <c r="S86" s="19">
        <v>0</v>
      </c>
    </row>
    <row r="87" spans="1:19" x14ac:dyDescent="0.25">
      <c r="A87" s="3">
        <v>86</v>
      </c>
      <c r="B87" s="23">
        <v>110.16871715614494</v>
      </c>
      <c r="C87" s="18">
        <v>44791.577673611115</v>
      </c>
      <c r="D87" s="23">
        <v>5.0018903014918852</v>
      </c>
      <c r="E87" s="19">
        <v>17</v>
      </c>
      <c r="F87" s="17">
        <v>1</v>
      </c>
      <c r="G87" s="19">
        <v>-5.0014324188232422</v>
      </c>
      <c r="H87" s="17">
        <v>0.68579632043838501</v>
      </c>
      <c r="I87" s="17">
        <f t="shared" si="2"/>
        <v>-0.80022918701171875</v>
      </c>
      <c r="J87" s="17">
        <f t="shared" si="3"/>
        <v>-0.54879423196003696</v>
      </c>
      <c r="K87" s="19">
        <v>0</v>
      </c>
      <c r="L87" s="17">
        <v>5.9007067046664002E-2</v>
      </c>
      <c r="M87" s="19">
        <v>0</v>
      </c>
      <c r="N87" s="17">
        <v>4.2988037579866002E-2</v>
      </c>
      <c r="O87" s="19">
        <v>6.1523911426775157E-5</v>
      </c>
      <c r="P87" s="17">
        <v>0</v>
      </c>
      <c r="Q87" s="19">
        <v>0</v>
      </c>
      <c r="R87" s="17">
        <v>0</v>
      </c>
      <c r="S87" s="19">
        <v>0</v>
      </c>
    </row>
    <row r="88" spans="1:19" x14ac:dyDescent="0.25">
      <c r="A88" s="3">
        <v>87</v>
      </c>
      <c r="B88" s="23">
        <v>111.18725019995632</v>
      </c>
      <c r="C88" s="18">
        <v>44791.577685185184</v>
      </c>
      <c r="D88" s="23">
        <v>1.015349221835159</v>
      </c>
      <c r="E88" s="19">
        <v>18</v>
      </c>
      <c r="F88" s="17">
        <v>1</v>
      </c>
      <c r="G88" s="19">
        <v>-5.3143420219421387</v>
      </c>
      <c r="H88" s="17">
        <v>0.67749011516571045</v>
      </c>
      <c r="I88" s="17">
        <f t="shared" si="2"/>
        <v>-0.8502947235107422</v>
      </c>
      <c r="J88" s="17">
        <f t="shared" si="3"/>
        <v>-0.57606627015608869</v>
      </c>
      <c r="K88" s="19">
        <v>0</v>
      </c>
      <c r="L88" s="17">
        <v>6.0510289252119001E-2</v>
      </c>
      <c r="M88" s="19">
        <v>0</v>
      </c>
      <c r="N88" s="17">
        <v>4.400662358633E-2</v>
      </c>
      <c r="O88" s="19">
        <v>-6.1523911426775157E-5</v>
      </c>
      <c r="P88" s="17">
        <v>0</v>
      </c>
      <c r="Q88" s="19">
        <v>0</v>
      </c>
      <c r="R88" s="17">
        <v>0</v>
      </c>
      <c r="S88" s="19">
        <v>0</v>
      </c>
    </row>
    <row r="89" spans="1:19" x14ac:dyDescent="0.25">
      <c r="A89" s="3">
        <v>88</v>
      </c>
      <c r="B89" s="23">
        <v>112.18829810139952</v>
      </c>
      <c r="C89" s="18">
        <v>44791.577696759261</v>
      </c>
      <c r="D89" s="23">
        <v>2.0163972024016239</v>
      </c>
      <c r="E89" s="19">
        <v>18</v>
      </c>
      <c r="F89" s="17">
        <v>1</v>
      </c>
      <c r="G89" s="19">
        <v>-5.3139724731445313</v>
      </c>
      <c r="H89" s="17">
        <v>0.67779773473739624</v>
      </c>
      <c r="I89" s="17">
        <f t="shared" si="2"/>
        <v>-0.85023559570312501</v>
      </c>
      <c r="J89" s="17">
        <f t="shared" si="3"/>
        <v>-0.57628776076067878</v>
      </c>
      <c r="K89" s="19">
        <v>0</v>
      </c>
      <c r="L89" s="17">
        <v>6.1987975762223001E-2</v>
      </c>
      <c r="M89" s="19">
        <v>0</v>
      </c>
      <c r="N89" s="17">
        <v>4.5008043815157002E-2</v>
      </c>
      <c r="O89" s="19">
        <v>0</v>
      </c>
      <c r="P89" s="17">
        <v>0</v>
      </c>
      <c r="Q89" s="19">
        <v>0</v>
      </c>
      <c r="R89" s="17">
        <v>0</v>
      </c>
      <c r="S89" s="19">
        <v>0</v>
      </c>
    </row>
    <row r="90" spans="1:19" x14ac:dyDescent="0.25">
      <c r="A90" s="3">
        <v>89</v>
      </c>
      <c r="B90" s="23">
        <v>113.19419549999822</v>
      </c>
      <c r="C90" s="18">
        <v>44791.577708333331</v>
      </c>
      <c r="D90" s="23">
        <v>3.0222945222350708</v>
      </c>
      <c r="E90" s="19">
        <v>18</v>
      </c>
      <c r="F90" s="17">
        <v>1</v>
      </c>
      <c r="G90" s="19">
        <v>-5.3139724731445313</v>
      </c>
      <c r="H90" s="17">
        <v>0.67779773473739624</v>
      </c>
      <c r="I90" s="17">
        <f t="shared" si="2"/>
        <v>-0.85023559570312501</v>
      </c>
      <c r="J90" s="17">
        <f t="shared" si="3"/>
        <v>-0.57628776076067878</v>
      </c>
      <c r="K90" s="19">
        <v>0</v>
      </c>
      <c r="L90" s="17">
        <v>6.3472818121722993E-2</v>
      </c>
      <c r="M90" s="19">
        <v>0</v>
      </c>
      <c r="N90" s="17">
        <v>4.6014473270966999E-2</v>
      </c>
      <c r="O90" s="19">
        <v>0</v>
      </c>
      <c r="P90" s="17">
        <v>0</v>
      </c>
      <c r="Q90" s="19">
        <v>0</v>
      </c>
      <c r="R90" s="17">
        <v>0</v>
      </c>
      <c r="S90" s="19">
        <v>0</v>
      </c>
    </row>
    <row r="91" spans="1:19" x14ac:dyDescent="0.25">
      <c r="A91" s="3">
        <v>90</v>
      </c>
      <c r="B91" s="23">
        <v>114.20197405007322</v>
      </c>
      <c r="C91" s="18">
        <v>44791.577719907407</v>
      </c>
      <c r="D91" s="23">
        <v>4.0300730723100777</v>
      </c>
      <c r="E91" s="19">
        <v>18</v>
      </c>
      <c r="F91" s="17">
        <v>1</v>
      </c>
      <c r="G91" s="19">
        <v>-5.3143420219421387</v>
      </c>
      <c r="H91" s="17">
        <v>0.67779773473739624</v>
      </c>
      <c r="I91" s="17">
        <f t="shared" si="2"/>
        <v>-0.8502947235107422</v>
      </c>
      <c r="J91" s="17">
        <f t="shared" si="3"/>
        <v>-0.5763278374547417</v>
      </c>
      <c r="K91" s="19">
        <v>0</v>
      </c>
      <c r="L91" s="17">
        <v>6.4960428697406994E-2</v>
      </c>
      <c r="M91" s="19">
        <v>0</v>
      </c>
      <c r="N91" s="17">
        <v>4.7022801370910999E-2</v>
      </c>
      <c r="O91" s="19">
        <v>6.1523911426775157E-5</v>
      </c>
      <c r="P91" s="17">
        <v>0</v>
      </c>
      <c r="Q91" s="19">
        <v>0</v>
      </c>
      <c r="R91" s="17">
        <v>0</v>
      </c>
      <c r="S91" s="19">
        <v>0</v>
      </c>
    </row>
    <row r="92" spans="1:19" x14ac:dyDescent="0.25">
      <c r="A92" s="3">
        <v>91</v>
      </c>
      <c r="B92" s="23">
        <v>115.17865990741502</v>
      </c>
      <c r="C92" s="18">
        <v>44791.577731481491</v>
      </c>
      <c r="D92" s="23">
        <v>5.0067590123554027</v>
      </c>
      <c r="E92" s="19">
        <v>18</v>
      </c>
      <c r="F92" s="17">
        <v>1</v>
      </c>
      <c r="G92" s="19">
        <v>-5.3139724731445313</v>
      </c>
      <c r="H92" s="17">
        <v>0.67810535430908203</v>
      </c>
      <c r="I92" s="17">
        <f t="shared" si="2"/>
        <v>-0.85023559570312501</v>
      </c>
      <c r="J92" s="17">
        <f t="shared" si="3"/>
        <v>-0.57654930987046105</v>
      </c>
      <c r="K92" s="19">
        <v>0</v>
      </c>
      <c r="L92" s="17">
        <v>6.6402149728646997E-2</v>
      </c>
      <c r="M92" s="19">
        <v>0</v>
      </c>
      <c r="N92" s="17">
        <v>4.8000114968787998E-2</v>
      </c>
      <c r="O92" s="19">
        <v>0</v>
      </c>
      <c r="P92" s="17">
        <v>0</v>
      </c>
      <c r="Q92" s="19">
        <v>0</v>
      </c>
      <c r="R92" s="17">
        <v>0</v>
      </c>
      <c r="S92" s="19">
        <v>0</v>
      </c>
    </row>
    <row r="93" spans="1:19" x14ac:dyDescent="0.25">
      <c r="A93" s="3">
        <v>92</v>
      </c>
      <c r="B93" s="23">
        <v>116.18260714973631</v>
      </c>
      <c r="C93" s="18">
        <v>44791.577743055554</v>
      </c>
      <c r="D93" s="23">
        <v>1.0010747428493689</v>
      </c>
      <c r="E93" s="19">
        <v>19</v>
      </c>
      <c r="F93" s="17">
        <v>1</v>
      </c>
      <c r="G93" s="19">
        <v>-5.6268825531005859</v>
      </c>
      <c r="H93" s="17">
        <v>0.67010676860809326</v>
      </c>
      <c r="I93" s="17">
        <f t="shared" si="2"/>
        <v>-0.90030120849609374</v>
      </c>
      <c r="J93" s="17">
        <f t="shared" si="3"/>
        <v>-0.60329793359927864</v>
      </c>
      <c r="K93" s="19">
        <v>0</v>
      </c>
      <c r="L93" s="17">
        <v>6.7971057483360006E-2</v>
      </c>
      <c r="M93" s="19">
        <v>0</v>
      </c>
      <c r="N93" s="17">
        <v>4.9051592398145001E-2</v>
      </c>
      <c r="O93" s="19">
        <v>-6.1535836721304804E-5</v>
      </c>
      <c r="P93" s="17">
        <v>0</v>
      </c>
      <c r="Q93" s="19">
        <v>0</v>
      </c>
      <c r="R93" s="17">
        <v>0</v>
      </c>
      <c r="S93" s="19">
        <v>0</v>
      </c>
    </row>
    <row r="94" spans="1:19" x14ac:dyDescent="0.25">
      <c r="A94" s="3">
        <v>93</v>
      </c>
      <c r="B94" s="23">
        <v>117.18752336893284</v>
      </c>
      <c r="C94" s="18">
        <v>44791.57775462963</v>
      </c>
      <c r="D94" s="23">
        <v>2.005990958107629</v>
      </c>
      <c r="E94" s="19">
        <v>19</v>
      </c>
      <c r="F94" s="17">
        <v>1</v>
      </c>
      <c r="G94" s="19">
        <v>-5.6265125274658203</v>
      </c>
      <c r="H94" s="17">
        <v>0.66979914903640747</v>
      </c>
      <c r="I94" s="17">
        <f t="shared" si="2"/>
        <v>-0.90024200439453128</v>
      </c>
      <c r="J94" s="17">
        <f t="shared" si="3"/>
        <v>-0.60298132847028685</v>
      </c>
      <c r="K94" s="19">
        <v>0</v>
      </c>
      <c r="L94" s="17">
        <v>6.9541750920480996E-2</v>
      </c>
      <c r="M94" s="19">
        <v>0</v>
      </c>
      <c r="N94" s="17">
        <v>5.0104318425958E-2</v>
      </c>
      <c r="O94" s="19">
        <v>-1.2305975542403758E-4</v>
      </c>
      <c r="P94" s="17">
        <v>0</v>
      </c>
      <c r="Q94" s="19">
        <v>0</v>
      </c>
      <c r="R94" s="17">
        <v>0</v>
      </c>
      <c r="S94" s="19">
        <v>0</v>
      </c>
    </row>
    <row r="95" spans="1:19" x14ac:dyDescent="0.25">
      <c r="A95" s="3">
        <v>94</v>
      </c>
      <c r="B95" s="23">
        <v>118.18859851026276</v>
      </c>
      <c r="C95" s="18">
        <v>44791.577766203707</v>
      </c>
      <c r="D95" s="23">
        <v>3.007066099437544</v>
      </c>
      <c r="E95" s="19">
        <v>19</v>
      </c>
      <c r="F95" s="17">
        <v>1</v>
      </c>
      <c r="G95" s="19">
        <v>-5.6268825531005859</v>
      </c>
      <c r="H95" s="17">
        <v>0.67010676860809326</v>
      </c>
      <c r="I95" s="17">
        <f t="shared" si="2"/>
        <v>-0.90030120849609374</v>
      </c>
      <c r="J95" s="17">
        <f t="shared" si="3"/>
        <v>-0.60329793359927864</v>
      </c>
      <c r="K95" s="19">
        <v>0</v>
      </c>
      <c r="L95" s="17">
        <v>7.1106432663388994E-2</v>
      </c>
      <c r="M95" s="19">
        <v>0</v>
      </c>
      <c r="N95" s="17">
        <v>5.1153096814958998E-2</v>
      </c>
      <c r="O95" s="19">
        <v>0</v>
      </c>
      <c r="P95" s="17">
        <v>0</v>
      </c>
      <c r="Q95" s="19">
        <v>0</v>
      </c>
      <c r="R95" s="17">
        <v>0</v>
      </c>
      <c r="S95" s="19">
        <v>0</v>
      </c>
    </row>
    <row r="96" spans="1:19" x14ac:dyDescent="0.25">
      <c r="A96" s="3">
        <v>95</v>
      </c>
      <c r="B96" s="23">
        <v>119.19632989678172</v>
      </c>
      <c r="C96" s="18">
        <v>44791.577777777777</v>
      </c>
      <c r="D96" s="23">
        <v>4.0147974859565139</v>
      </c>
      <c r="E96" s="19">
        <v>19</v>
      </c>
      <c r="F96" s="17">
        <v>1</v>
      </c>
      <c r="G96" s="19">
        <v>-5.6268825531005859</v>
      </c>
      <c r="H96" s="17">
        <v>0.67041444778442383</v>
      </c>
      <c r="I96" s="17">
        <f t="shared" si="2"/>
        <v>-0.90030120849609374</v>
      </c>
      <c r="J96" s="17">
        <f t="shared" si="3"/>
        <v>-0.60357493753355806</v>
      </c>
      <c r="K96" s="19">
        <v>0</v>
      </c>
      <c r="L96" s="17">
        <v>7.2681522187380998E-2</v>
      </c>
      <c r="M96" s="19">
        <v>0</v>
      </c>
      <c r="N96" s="17">
        <v>5.2208744819653999E-2</v>
      </c>
      <c r="O96" s="19">
        <v>6.1535836721304804E-5</v>
      </c>
      <c r="P96" s="17">
        <v>0</v>
      </c>
      <c r="Q96" s="19">
        <v>0</v>
      </c>
      <c r="R96" s="17">
        <v>0</v>
      </c>
      <c r="S96" s="19">
        <v>0</v>
      </c>
    </row>
    <row r="97" spans="1:19" x14ac:dyDescent="0.25">
      <c r="A97" s="3">
        <v>96</v>
      </c>
      <c r="B97" s="23">
        <v>120.18955833927056</v>
      </c>
      <c r="C97" s="18">
        <v>44791.577789351853</v>
      </c>
      <c r="D97" s="23">
        <v>5.0080259323836156</v>
      </c>
      <c r="E97" s="19">
        <v>19</v>
      </c>
      <c r="F97" s="17">
        <v>1</v>
      </c>
      <c r="G97" s="19">
        <v>-5.6268825531005859</v>
      </c>
      <c r="H97" s="17">
        <v>0.67041444778442383</v>
      </c>
      <c r="I97" s="17">
        <f t="shared" si="2"/>
        <v>-0.90030120849609374</v>
      </c>
      <c r="J97" s="17">
        <f t="shared" si="3"/>
        <v>-0.60357493753355806</v>
      </c>
      <c r="K97" s="19">
        <v>0</v>
      </c>
      <c r="L97" s="17">
        <v>7.4233962607021003E-2</v>
      </c>
      <c r="M97" s="19">
        <v>0</v>
      </c>
      <c r="N97" s="17">
        <v>5.3249318457873E-2</v>
      </c>
      <c r="O97" s="19">
        <v>6.1535836721304804E-5</v>
      </c>
      <c r="P97" s="17">
        <v>0</v>
      </c>
      <c r="Q97" s="19">
        <v>0</v>
      </c>
      <c r="R97" s="17">
        <v>0</v>
      </c>
      <c r="S97" s="19">
        <v>0</v>
      </c>
    </row>
    <row r="98" spans="1:19" x14ac:dyDescent="0.25">
      <c r="A98" s="3">
        <v>97</v>
      </c>
      <c r="B98" s="23">
        <v>121.19638113751338</v>
      </c>
      <c r="C98" s="18">
        <v>44791.577800925923</v>
      </c>
      <c r="D98" s="23">
        <v>1.003961704336743</v>
      </c>
      <c r="E98" s="19">
        <v>20</v>
      </c>
      <c r="F98" s="17">
        <v>1</v>
      </c>
      <c r="G98" s="19">
        <v>-5.939422607421875</v>
      </c>
      <c r="H98" s="17">
        <v>0.66241586208343506</v>
      </c>
      <c r="I98" s="17">
        <f t="shared" si="2"/>
        <v>-0.95030761718750001</v>
      </c>
      <c r="J98" s="17">
        <f t="shared" si="3"/>
        <v>-0.62949883948371277</v>
      </c>
      <c r="K98" s="19">
        <v>0</v>
      </c>
      <c r="L98" s="17">
        <v>7.5706197651154994E-2</v>
      </c>
      <c r="M98" s="19">
        <v>0</v>
      </c>
      <c r="N98" s="17">
        <v>5.4225209336057997E-2</v>
      </c>
      <c r="O98" s="19">
        <v>-1.538181328214705E-3</v>
      </c>
      <c r="P98" s="17">
        <v>0</v>
      </c>
      <c r="Q98" s="19">
        <v>0</v>
      </c>
      <c r="R98" s="17">
        <v>0</v>
      </c>
      <c r="S98" s="19">
        <v>0</v>
      </c>
    </row>
    <row r="99" spans="1:19" x14ac:dyDescent="0.25">
      <c r="A99" s="3">
        <v>98</v>
      </c>
      <c r="B99" s="23">
        <v>122.19942459981884</v>
      </c>
      <c r="C99" s="18">
        <v>44791.5778125</v>
      </c>
      <c r="D99" s="23">
        <v>2.0070051662841779</v>
      </c>
      <c r="E99" s="19">
        <v>20</v>
      </c>
      <c r="F99" s="17">
        <v>1</v>
      </c>
      <c r="G99" s="19">
        <v>-5.9390525817871094</v>
      </c>
      <c r="H99" s="17">
        <v>0.66241586208343506</v>
      </c>
      <c r="I99" s="17">
        <f t="shared" si="2"/>
        <v>-0.95024841308593755</v>
      </c>
      <c r="J99" s="17">
        <f t="shared" si="3"/>
        <v>-0.6294596217477374</v>
      </c>
      <c r="K99" s="19">
        <v>0</v>
      </c>
      <c r="L99" s="17">
        <v>7.7541460795784001E-2</v>
      </c>
      <c r="M99" s="19">
        <v>0</v>
      </c>
      <c r="N99" s="17">
        <v>5.5441103209644002E-2</v>
      </c>
      <c r="O99" s="19">
        <v>-1.538181328214705E-3</v>
      </c>
      <c r="P99" s="17">
        <v>0</v>
      </c>
      <c r="Q99" s="19">
        <v>0</v>
      </c>
      <c r="R99" s="17">
        <v>0</v>
      </c>
      <c r="S99" s="19">
        <v>0</v>
      </c>
    </row>
    <row r="100" spans="1:19" x14ac:dyDescent="0.25">
      <c r="A100" s="3">
        <v>99</v>
      </c>
      <c r="B100" s="23">
        <v>123.20623819541656</v>
      </c>
      <c r="C100" s="18">
        <v>44791.577824074076</v>
      </c>
      <c r="D100" s="23">
        <v>3.013818758301678</v>
      </c>
      <c r="E100" s="19">
        <v>20</v>
      </c>
      <c r="F100" s="17">
        <v>1</v>
      </c>
      <c r="G100" s="19">
        <v>-5.9390525817871094</v>
      </c>
      <c r="H100" s="17">
        <v>0.66272348165512085</v>
      </c>
      <c r="I100" s="17">
        <f t="shared" si="2"/>
        <v>-0.95024841308593755</v>
      </c>
      <c r="J100" s="17">
        <f t="shared" si="3"/>
        <v>-0.62975193675756602</v>
      </c>
      <c r="K100" s="19">
        <v>0</v>
      </c>
      <c r="L100" s="17">
        <v>7.9202493282672995E-2</v>
      </c>
      <c r="M100" s="19">
        <v>0</v>
      </c>
      <c r="N100" s="17">
        <v>5.6541505289765003E-2</v>
      </c>
      <c r="O100" s="19">
        <v>0</v>
      </c>
      <c r="P100" s="17">
        <v>0</v>
      </c>
      <c r="Q100" s="19">
        <v>0</v>
      </c>
      <c r="R100" s="17">
        <v>0</v>
      </c>
      <c r="S100" s="19">
        <v>0</v>
      </c>
    </row>
    <row r="101" spans="1:19" x14ac:dyDescent="0.25">
      <c r="A101" s="3">
        <v>100</v>
      </c>
      <c r="B101" s="23">
        <v>124.21121174676256</v>
      </c>
      <c r="C101" s="18">
        <v>44791.577835648146</v>
      </c>
      <c r="D101" s="23">
        <v>4.0187923096476688</v>
      </c>
      <c r="E101" s="19">
        <v>20</v>
      </c>
      <c r="F101" s="17">
        <v>1</v>
      </c>
      <c r="G101" s="19">
        <v>-5.939422607421875</v>
      </c>
      <c r="H101" s="17">
        <v>0.66241586208343506</v>
      </c>
      <c r="I101" s="17">
        <f t="shared" si="2"/>
        <v>-0.95030761718750001</v>
      </c>
      <c r="J101" s="17">
        <f t="shared" si="3"/>
        <v>-0.62949883948371277</v>
      </c>
      <c r="K101" s="19">
        <v>0</v>
      </c>
      <c r="L101" s="17">
        <v>8.0860469855681003E-2</v>
      </c>
      <c r="M101" s="19">
        <v>0</v>
      </c>
      <c r="N101" s="17">
        <v>5.7640018224295E-2</v>
      </c>
      <c r="O101" s="19">
        <v>0</v>
      </c>
      <c r="P101" s="17">
        <v>0</v>
      </c>
      <c r="Q101" s="19">
        <v>0</v>
      </c>
      <c r="R101" s="17">
        <v>0</v>
      </c>
      <c r="S101" s="19">
        <v>0</v>
      </c>
    </row>
    <row r="102" spans="1:19" x14ac:dyDescent="0.25">
      <c r="A102" s="3">
        <v>101</v>
      </c>
      <c r="B102" s="23">
        <v>125.19851500549566</v>
      </c>
      <c r="C102" s="18">
        <v>44791.577847222223</v>
      </c>
      <c r="D102" s="23">
        <v>5.0060955723190279</v>
      </c>
      <c r="E102" s="19">
        <v>20</v>
      </c>
      <c r="F102" s="17">
        <v>1</v>
      </c>
      <c r="G102" s="19">
        <v>-5.939422607421875</v>
      </c>
      <c r="H102" s="17">
        <v>0.66272348165512085</v>
      </c>
      <c r="I102" s="17">
        <f t="shared" si="2"/>
        <v>-0.95030761718750001</v>
      </c>
      <c r="J102" s="17">
        <f t="shared" si="3"/>
        <v>-0.62979117270588181</v>
      </c>
      <c r="K102" s="19">
        <v>0</v>
      </c>
      <c r="L102" s="17">
        <v>8.2489320722321999E-2</v>
      </c>
      <c r="M102" s="19">
        <v>0</v>
      </c>
      <c r="N102" s="17">
        <v>5.8719098713035003E-2</v>
      </c>
      <c r="O102" s="19">
        <v>1.2305975542403758E-4</v>
      </c>
      <c r="P102" s="17">
        <v>0</v>
      </c>
      <c r="Q102" s="19">
        <v>0</v>
      </c>
      <c r="R102" s="17">
        <v>0</v>
      </c>
      <c r="S102" s="19">
        <v>0</v>
      </c>
    </row>
    <row r="103" spans="1:19" x14ac:dyDescent="0.25">
      <c r="A103" s="3">
        <v>102</v>
      </c>
      <c r="B103" s="23">
        <v>126.20441240051412</v>
      </c>
      <c r="C103" s="18">
        <v>44791.5778587963</v>
      </c>
      <c r="D103" s="23">
        <v>1.0029906333799961</v>
      </c>
      <c r="E103" s="19">
        <v>21</v>
      </c>
      <c r="F103" s="17">
        <v>1</v>
      </c>
      <c r="G103" s="19">
        <v>-6.251223087310791</v>
      </c>
      <c r="H103" s="17">
        <v>0.65503251552581787</v>
      </c>
      <c r="I103" s="17">
        <f t="shared" si="2"/>
        <v>-1.0001956939697265</v>
      </c>
      <c r="J103" s="17">
        <f t="shared" si="3"/>
        <v>-0.65516070143908112</v>
      </c>
      <c r="K103" s="19">
        <v>0</v>
      </c>
      <c r="L103" s="17">
        <v>8.4235898478881993E-2</v>
      </c>
      <c r="M103" s="19">
        <v>0</v>
      </c>
      <c r="N103" s="17">
        <v>5.9862933460603E-2</v>
      </c>
      <c r="O103" s="19">
        <v>0</v>
      </c>
      <c r="P103" s="17">
        <v>0</v>
      </c>
      <c r="Q103" s="19">
        <v>0</v>
      </c>
      <c r="R103" s="17">
        <v>0</v>
      </c>
      <c r="S103" s="19">
        <v>0</v>
      </c>
    </row>
    <row r="104" spans="1:19" x14ac:dyDescent="0.25">
      <c r="A104" s="3">
        <v>103</v>
      </c>
      <c r="B104" s="23">
        <v>127.20443733114701</v>
      </c>
      <c r="C104" s="18">
        <v>44791.577870370369</v>
      </c>
      <c r="D104" s="23">
        <v>2.0030155604326358</v>
      </c>
      <c r="E104" s="19">
        <v>21</v>
      </c>
      <c r="F104" s="17">
        <v>1</v>
      </c>
      <c r="G104" s="19">
        <v>-6.2519626617431641</v>
      </c>
      <c r="H104" s="17">
        <v>0.65503251552581787</v>
      </c>
      <c r="I104" s="17">
        <f t="shared" si="2"/>
        <v>-1.0003140258789063</v>
      </c>
      <c r="J104" s="17">
        <f t="shared" si="3"/>
        <v>-0.65523821268721805</v>
      </c>
      <c r="K104" s="19">
        <v>0</v>
      </c>
      <c r="L104" s="17">
        <v>8.5972546687793999E-2</v>
      </c>
      <c r="M104" s="19">
        <v>0</v>
      </c>
      <c r="N104" s="17">
        <v>6.1000235751513997E-2</v>
      </c>
      <c r="O104" s="19">
        <v>0</v>
      </c>
      <c r="P104" s="17">
        <v>0</v>
      </c>
      <c r="Q104" s="19">
        <v>0</v>
      </c>
      <c r="R104" s="17">
        <v>0</v>
      </c>
      <c r="S104" s="19">
        <v>0</v>
      </c>
    </row>
    <row r="105" spans="1:19" x14ac:dyDescent="0.25">
      <c r="A105" s="3">
        <v>104</v>
      </c>
      <c r="B105" s="23">
        <v>128.20935335844274</v>
      </c>
      <c r="C105" s="18">
        <v>44791.577881944446</v>
      </c>
      <c r="D105" s="23">
        <v>3.0079315916666371</v>
      </c>
      <c r="E105" s="19">
        <v>21</v>
      </c>
      <c r="F105" s="17">
        <v>1</v>
      </c>
      <c r="G105" s="19">
        <v>-6.2515926361083984</v>
      </c>
      <c r="H105" s="17">
        <v>0.65472489595413208</v>
      </c>
      <c r="I105" s="17">
        <f t="shared" si="2"/>
        <v>-1.0002548217773437</v>
      </c>
      <c r="J105" s="17">
        <f t="shared" si="3"/>
        <v>-0.65489173411579027</v>
      </c>
      <c r="K105" s="19">
        <v>0</v>
      </c>
      <c r="L105" s="17">
        <v>8.7717692765158006E-2</v>
      </c>
      <c r="M105" s="19">
        <v>0</v>
      </c>
      <c r="N105" s="17">
        <v>6.2142947525965997E-2</v>
      </c>
      <c r="O105" s="19">
        <v>0</v>
      </c>
      <c r="P105" s="17">
        <v>0</v>
      </c>
      <c r="Q105" s="19">
        <v>0</v>
      </c>
      <c r="R105" s="17">
        <v>0</v>
      </c>
      <c r="S105" s="19">
        <v>0</v>
      </c>
    </row>
    <row r="106" spans="1:19" x14ac:dyDescent="0.25">
      <c r="A106" s="3">
        <v>105</v>
      </c>
      <c r="B106" s="23">
        <v>129.21625015770951</v>
      </c>
      <c r="C106" s="18">
        <v>44791.577893518515</v>
      </c>
      <c r="D106" s="23">
        <v>4.0148283869951413</v>
      </c>
      <c r="E106" s="19">
        <v>21</v>
      </c>
      <c r="F106" s="17">
        <v>1</v>
      </c>
      <c r="G106" s="19">
        <v>-6.251223087310791</v>
      </c>
      <c r="H106" s="17">
        <v>0.65503251552581787</v>
      </c>
      <c r="I106" s="17">
        <f t="shared" si="2"/>
        <v>-1.0001956939697265</v>
      </c>
      <c r="J106" s="17">
        <f t="shared" si="3"/>
        <v>-0.65516070143908112</v>
      </c>
      <c r="K106" s="19">
        <v>0</v>
      </c>
      <c r="L106" s="17">
        <v>8.9466272375180997E-2</v>
      </c>
      <c r="M106" s="19">
        <v>0</v>
      </c>
      <c r="N106" s="17">
        <v>6.3288034153667003E-2</v>
      </c>
      <c r="O106" s="19">
        <v>6.1523911426775157E-5</v>
      </c>
      <c r="P106" s="17">
        <v>0</v>
      </c>
      <c r="Q106" s="19">
        <v>0</v>
      </c>
      <c r="R106" s="17">
        <v>0</v>
      </c>
      <c r="S106" s="19">
        <v>0</v>
      </c>
    </row>
    <row r="107" spans="1:19" x14ac:dyDescent="0.25">
      <c r="A107" s="3">
        <v>106</v>
      </c>
      <c r="B107" s="23">
        <v>130.20454229836992</v>
      </c>
      <c r="C107" s="18">
        <v>44791.577905092592</v>
      </c>
      <c r="D107" s="23">
        <v>5.0031205315938152</v>
      </c>
      <c r="E107" s="19">
        <v>21</v>
      </c>
      <c r="F107" s="17">
        <v>1</v>
      </c>
      <c r="G107" s="19">
        <v>-6.2519626617431641</v>
      </c>
      <c r="H107" s="17">
        <v>0.65472489595413208</v>
      </c>
      <c r="I107" s="17">
        <f t="shared" si="2"/>
        <v>-1.0003140258789063</v>
      </c>
      <c r="J107" s="17">
        <f t="shared" si="3"/>
        <v>-0.65493049651502588</v>
      </c>
      <c r="K107" s="19">
        <v>0</v>
      </c>
      <c r="L107" s="17">
        <v>9.1182536453023003E-2</v>
      </c>
      <c r="M107" s="19">
        <v>0</v>
      </c>
      <c r="N107" s="17">
        <v>6.4411912419085005E-2</v>
      </c>
      <c r="O107" s="19">
        <v>0</v>
      </c>
      <c r="P107" s="17">
        <v>0</v>
      </c>
      <c r="Q107" s="19">
        <v>0</v>
      </c>
      <c r="R107" s="17">
        <v>0</v>
      </c>
      <c r="S107" s="19">
        <v>0</v>
      </c>
    </row>
    <row r="108" spans="1:19" x14ac:dyDescent="0.25">
      <c r="A108" s="3">
        <v>107</v>
      </c>
      <c r="B108" s="23">
        <v>131.21044015559718</v>
      </c>
      <c r="C108" s="18">
        <v>44791.577916666669</v>
      </c>
      <c r="D108" s="23">
        <v>1.0027328426019739</v>
      </c>
      <c r="E108" s="19">
        <v>22</v>
      </c>
      <c r="F108" s="17">
        <v>1</v>
      </c>
      <c r="G108" s="19">
        <v>-7.5021233558654785</v>
      </c>
      <c r="H108" s="17">
        <v>0.62519162893295288</v>
      </c>
      <c r="I108" s="17">
        <f t="shared" si="2"/>
        <v>-1.2003397369384765</v>
      </c>
      <c r="J108" s="17">
        <f t="shared" si="3"/>
        <v>-0.75044235540951831</v>
      </c>
      <c r="K108" s="19">
        <v>0</v>
      </c>
      <c r="L108" s="17">
        <v>9.3263042287043005E-2</v>
      </c>
      <c r="M108" s="19">
        <v>0</v>
      </c>
      <c r="N108" s="17">
        <v>6.5714819334921001E-2</v>
      </c>
      <c r="O108" s="19">
        <v>-5.9681772254407406E-3</v>
      </c>
      <c r="P108" s="17">
        <v>0</v>
      </c>
      <c r="Q108" s="19">
        <v>0</v>
      </c>
      <c r="R108" s="17">
        <v>0</v>
      </c>
      <c r="S108" s="19">
        <v>0</v>
      </c>
    </row>
    <row r="109" spans="1:19" x14ac:dyDescent="0.25">
      <c r="A109" s="3">
        <v>108</v>
      </c>
      <c r="B109" s="23">
        <v>132.21732477095424</v>
      </c>
      <c r="C109" s="18">
        <v>44791.577928240738</v>
      </c>
      <c r="D109" s="23">
        <v>2.0096174579590489</v>
      </c>
      <c r="E109" s="19">
        <v>22</v>
      </c>
      <c r="F109" s="17">
        <v>1</v>
      </c>
      <c r="G109" s="19">
        <v>-7.5021233558654785</v>
      </c>
      <c r="H109" s="17">
        <v>0.62488400936126709</v>
      </c>
      <c r="I109" s="17">
        <f t="shared" si="2"/>
        <v>-1.2003397369384765</v>
      </c>
      <c r="J109" s="17">
        <f t="shared" si="3"/>
        <v>-0.75007310741376387</v>
      </c>
      <c r="K109" s="19">
        <v>0</v>
      </c>
      <c r="L109" s="17">
        <v>9.5361257540903993E-2</v>
      </c>
      <c r="M109" s="19">
        <v>0</v>
      </c>
      <c r="N109" s="17">
        <v>6.7026298045946994E-2</v>
      </c>
      <c r="O109" s="19">
        <v>-6.0297013260424137E-3</v>
      </c>
      <c r="P109" s="17">
        <v>0</v>
      </c>
      <c r="Q109" s="19">
        <v>0</v>
      </c>
      <c r="R109" s="17">
        <v>0</v>
      </c>
      <c r="S109" s="19">
        <v>0</v>
      </c>
    </row>
    <row r="110" spans="1:19" x14ac:dyDescent="0.25">
      <c r="A110" s="3">
        <v>109</v>
      </c>
      <c r="B110" s="23">
        <v>133.21930781637673</v>
      </c>
      <c r="C110" s="18">
        <v>44791.577939814815</v>
      </c>
      <c r="D110" s="23">
        <v>3.0116005069617739</v>
      </c>
      <c r="E110" s="19">
        <v>22</v>
      </c>
      <c r="F110" s="17">
        <v>1</v>
      </c>
      <c r="G110" s="19">
        <v>-7.5021233558654785</v>
      </c>
      <c r="H110" s="17">
        <v>0.62488400936126709</v>
      </c>
      <c r="I110" s="17">
        <f t="shared" si="2"/>
        <v>-1.2003397369384765</v>
      </c>
      <c r="J110" s="17">
        <f t="shared" si="3"/>
        <v>-0.75007310741376387</v>
      </c>
      <c r="K110" s="19">
        <v>0</v>
      </c>
      <c r="L110" s="17">
        <v>9.7449258433924005E-2</v>
      </c>
      <c r="M110" s="19">
        <v>0</v>
      </c>
      <c r="N110" s="17">
        <v>6.8331237123746003E-2</v>
      </c>
      <c r="O110" s="19">
        <v>-6.1523911426775157E-5</v>
      </c>
      <c r="P110" s="17">
        <v>0</v>
      </c>
      <c r="Q110" s="19">
        <v>0</v>
      </c>
      <c r="R110" s="17">
        <v>0</v>
      </c>
      <c r="S110" s="19">
        <v>0</v>
      </c>
    </row>
    <row r="111" spans="1:19" x14ac:dyDescent="0.25">
      <c r="A111" s="3">
        <v>110</v>
      </c>
      <c r="B111" s="23">
        <v>134.22618006379983</v>
      </c>
      <c r="C111" s="18">
        <v>44791.577951388899</v>
      </c>
      <c r="D111" s="23">
        <v>4.0184727543848968</v>
      </c>
      <c r="E111" s="19">
        <v>22</v>
      </c>
      <c r="F111" s="17">
        <v>1</v>
      </c>
      <c r="G111" s="19">
        <v>-7.5028629302978516</v>
      </c>
      <c r="H111" s="17">
        <v>0.62426871061325073</v>
      </c>
      <c r="I111" s="17">
        <f t="shared" si="2"/>
        <v>-1.2004580688476563</v>
      </c>
      <c r="J111" s="17">
        <f t="shared" si="3"/>
        <v>-0.74940841078479936</v>
      </c>
      <c r="K111" s="19">
        <v>0</v>
      </c>
      <c r="L111" s="17">
        <v>9.9547462639133999E-2</v>
      </c>
      <c r="M111" s="19">
        <v>0</v>
      </c>
      <c r="N111" s="17">
        <v>6.9642451160697005E-2</v>
      </c>
      <c r="O111" s="19">
        <v>-1.2305975542403758E-4</v>
      </c>
      <c r="P111" s="17">
        <v>0</v>
      </c>
      <c r="Q111" s="19">
        <v>0</v>
      </c>
      <c r="R111" s="17">
        <v>0</v>
      </c>
      <c r="S111" s="19">
        <v>0</v>
      </c>
    </row>
    <row r="112" spans="1:19" x14ac:dyDescent="0.25">
      <c r="A112" s="3">
        <v>111</v>
      </c>
      <c r="B112" s="23">
        <v>135.21644714923508</v>
      </c>
      <c r="C112" s="18">
        <v>44791.577962962961</v>
      </c>
      <c r="D112" s="23">
        <v>5.0087398362398901</v>
      </c>
      <c r="E112" s="19">
        <v>22</v>
      </c>
      <c r="F112" s="17">
        <v>1</v>
      </c>
      <c r="G112" s="19">
        <v>-7.5013833045959473</v>
      </c>
      <c r="H112" s="17">
        <v>0.62488400936126709</v>
      </c>
      <c r="I112" s="17">
        <f t="shared" si="2"/>
        <v>-1.2002213287353516</v>
      </c>
      <c r="J112" s="17">
        <f t="shared" si="3"/>
        <v>-0.74999911602105385</v>
      </c>
      <c r="K112" s="19">
        <v>0</v>
      </c>
      <c r="L112" s="17">
        <v>0.101611056372811</v>
      </c>
      <c r="M112" s="19">
        <v>0</v>
      </c>
      <c r="N112" s="17">
        <v>7.0931966469305996E-2</v>
      </c>
      <c r="O112" s="19">
        <v>0</v>
      </c>
      <c r="P112" s="17">
        <v>0</v>
      </c>
      <c r="Q112" s="19">
        <v>0</v>
      </c>
      <c r="R112" s="17">
        <v>0</v>
      </c>
      <c r="S112" s="19">
        <v>0</v>
      </c>
    </row>
    <row r="113" spans="1:19" x14ac:dyDescent="0.25">
      <c r="A113" s="3">
        <v>112</v>
      </c>
      <c r="B113" s="23">
        <v>136.22230183523027</v>
      </c>
      <c r="C113" s="18">
        <v>44791.577974537038</v>
      </c>
      <c r="D113" s="23">
        <v>1.00268301785465</v>
      </c>
      <c r="E113" s="19">
        <v>23</v>
      </c>
      <c r="F113" s="17">
        <v>1</v>
      </c>
      <c r="G113" s="19">
        <v>-8.7519130706787109</v>
      </c>
      <c r="H113" s="17">
        <v>0.59596604108810425</v>
      </c>
      <c r="I113" s="17">
        <f t="shared" si="2"/>
        <v>-1.4003060913085938</v>
      </c>
      <c r="J113" s="17">
        <f t="shared" si="3"/>
        <v>-0.83453487754874012</v>
      </c>
      <c r="K113" s="19">
        <v>0</v>
      </c>
      <c r="L113" s="17">
        <v>0.104046148674971</v>
      </c>
      <c r="M113" s="19">
        <v>0</v>
      </c>
      <c r="N113" s="17">
        <v>7.2384889833312996E-2</v>
      </c>
      <c r="O113" s="19">
        <v>-5.72205800563097E-3</v>
      </c>
      <c r="P113" s="17">
        <v>0</v>
      </c>
      <c r="Q113" s="19">
        <v>0</v>
      </c>
      <c r="R113" s="17">
        <v>0</v>
      </c>
      <c r="S113" s="19">
        <v>0</v>
      </c>
    </row>
    <row r="114" spans="1:19" x14ac:dyDescent="0.25">
      <c r="A114" s="3">
        <v>113</v>
      </c>
      <c r="B114" s="23">
        <v>137.22723680198774</v>
      </c>
      <c r="C114" s="18">
        <v>44791.5779861111</v>
      </c>
      <c r="D114" s="23">
        <v>2.0076179842541109</v>
      </c>
      <c r="E114" s="19">
        <v>23</v>
      </c>
      <c r="F114" s="17">
        <v>1</v>
      </c>
      <c r="G114" s="19">
        <v>-8.7519130706787109</v>
      </c>
      <c r="H114" s="17">
        <v>0.59535074234008789</v>
      </c>
      <c r="I114" s="17">
        <f t="shared" si="2"/>
        <v>-1.4003060913085938</v>
      </c>
      <c r="J114" s="17">
        <f t="shared" si="3"/>
        <v>-0.83367327096391819</v>
      </c>
      <c r="K114" s="19">
        <v>0</v>
      </c>
      <c r="L114" s="17">
        <v>0.106489192623726</v>
      </c>
      <c r="M114" s="19">
        <v>0</v>
      </c>
      <c r="N114" s="17">
        <v>7.3840168915600995E-2</v>
      </c>
      <c r="O114" s="19">
        <v>-5.8451173827052116E-3</v>
      </c>
      <c r="P114" s="17">
        <v>0</v>
      </c>
      <c r="Q114" s="19">
        <v>0</v>
      </c>
      <c r="R114" s="17">
        <v>0</v>
      </c>
      <c r="S114" s="19">
        <v>0</v>
      </c>
    </row>
    <row r="115" spans="1:19" x14ac:dyDescent="0.25">
      <c r="A115" s="3">
        <v>114</v>
      </c>
      <c r="B115" s="23">
        <v>138.23318187540053</v>
      </c>
      <c r="C115" s="18">
        <v>44791.577997685185</v>
      </c>
      <c r="D115" s="23">
        <v>3.0135630576669019</v>
      </c>
      <c r="E115" s="19">
        <v>23</v>
      </c>
      <c r="F115" s="17">
        <v>1</v>
      </c>
      <c r="G115" s="19">
        <v>-8.7515430450439453</v>
      </c>
      <c r="H115" s="17">
        <v>0.59596604108810425</v>
      </c>
      <c r="I115" s="17">
        <f t="shared" si="2"/>
        <v>-1.4002468872070313</v>
      </c>
      <c r="J115" s="17">
        <f t="shared" si="3"/>
        <v>-0.83449959391471573</v>
      </c>
      <c r="K115" s="19">
        <v>0</v>
      </c>
      <c r="L115" s="17">
        <v>0.108934697911254</v>
      </c>
      <c r="M115" s="19">
        <v>0</v>
      </c>
      <c r="N115" s="17">
        <v>7.5296796598372004E-2</v>
      </c>
      <c r="O115" s="19">
        <v>6.1535836721304804E-5</v>
      </c>
      <c r="P115" s="17">
        <v>0</v>
      </c>
      <c r="Q115" s="19">
        <v>0</v>
      </c>
      <c r="R115" s="17">
        <v>0</v>
      </c>
      <c r="S115" s="19">
        <v>0</v>
      </c>
    </row>
    <row r="116" spans="1:19" x14ac:dyDescent="0.25">
      <c r="A116" s="3">
        <v>115</v>
      </c>
      <c r="B116" s="23">
        <v>139.23910181052662</v>
      </c>
      <c r="C116" s="18">
        <v>44791.578009259261</v>
      </c>
      <c r="D116" s="23">
        <v>4.0194830157065073</v>
      </c>
      <c r="E116" s="19">
        <v>23</v>
      </c>
      <c r="F116" s="17">
        <v>1</v>
      </c>
      <c r="G116" s="19">
        <v>-8.7515430450439453</v>
      </c>
      <c r="H116" s="17">
        <v>0.59565836191177368</v>
      </c>
      <c r="I116" s="17">
        <f t="shared" si="2"/>
        <v>-1.4002468872070313</v>
      </c>
      <c r="J116" s="17">
        <f t="shared" si="3"/>
        <v>-0.83406876710580036</v>
      </c>
      <c r="K116" s="19">
        <v>0</v>
      </c>
      <c r="L116" s="17">
        <v>0.111380149289404</v>
      </c>
      <c r="M116" s="19">
        <v>0</v>
      </c>
      <c r="N116" s="17">
        <v>7.6753161938052997E-2</v>
      </c>
      <c r="O116" s="19">
        <v>6.1523911426775157E-5</v>
      </c>
      <c r="P116" s="17">
        <v>0</v>
      </c>
      <c r="Q116" s="19">
        <v>0</v>
      </c>
      <c r="R116" s="17">
        <v>0</v>
      </c>
      <c r="S116" s="19">
        <v>0</v>
      </c>
    </row>
    <row r="117" spans="1:19" x14ac:dyDescent="0.25">
      <c r="A117" s="3">
        <v>116</v>
      </c>
      <c r="B117" s="23">
        <v>140.22831179867603</v>
      </c>
      <c r="C117" s="18">
        <v>44791.578020833331</v>
      </c>
      <c r="D117" s="23">
        <v>5.008692977362152</v>
      </c>
      <c r="E117" s="19">
        <v>23</v>
      </c>
      <c r="F117" s="17">
        <v>1</v>
      </c>
      <c r="G117" s="19">
        <v>-8.7515430450439453</v>
      </c>
      <c r="H117" s="17">
        <v>0.59535074234008789</v>
      </c>
      <c r="I117" s="17">
        <f t="shared" si="2"/>
        <v>-1.4002468872070313</v>
      </c>
      <c r="J117" s="17">
        <f t="shared" si="3"/>
        <v>-0.83363802375810336</v>
      </c>
      <c r="K117" s="19">
        <v>0</v>
      </c>
      <c r="L117" s="17">
        <v>0.11378496583743</v>
      </c>
      <c r="M117" s="19">
        <v>0</v>
      </c>
      <c r="N117" s="17">
        <v>7.8185170855794003E-2</v>
      </c>
      <c r="O117" s="19">
        <v>-1.2305975542403758E-4</v>
      </c>
      <c r="P117" s="17">
        <v>0</v>
      </c>
      <c r="Q117" s="19">
        <v>0</v>
      </c>
      <c r="R117" s="17">
        <v>0</v>
      </c>
      <c r="S117" s="19">
        <v>0</v>
      </c>
    </row>
    <row r="118" spans="1:19" x14ac:dyDescent="0.25">
      <c r="A118" s="3">
        <v>117</v>
      </c>
      <c r="B118" s="23">
        <v>141.23227994242978</v>
      </c>
      <c r="C118" s="18">
        <v>44791.578032407408</v>
      </c>
      <c r="D118" s="23">
        <v>1.0011451722273741</v>
      </c>
      <c r="E118" s="19">
        <v>24</v>
      </c>
      <c r="F118" s="17">
        <v>1</v>
      </c>
      <c r="G118" s="19">
        <v>-10.001704216003418</v>
      </c>
      <c r="H118" s="17">
        <v>0.56674039363861084</v>
      </c>
      <c r="I118" s="17">
        <f t="shared" si="2"/>
        <v>-1.6002726745605469</v>
      </c>
      <c r="J118" s="17">
        <f t="shared" si="3"/>
        <v>-0.90693916550955689</v>
      </c>
      <c r="K118" s="19">
        <v>0</v>
      </c>
      <c r="L118" s="17">
        <v>0.116566440878515</v>
      </c>
      <c r="M118" s="19">
        <v>0</v>
      </c>
      <c r="N118" s="17">
        <v>7.9762770990351006E-2</v>
      </c>
      <c r="O118" s="19">
        <v>-3.6916733370162547E-4</v>
      </c>
      <c r="P118" s="17">
        <v>0</v>
      </c>
      <c r="Q118" s="19">
        <v>0</v>
      </c>
      <c r="R118" s="17">
        <v>0</v>
      </c>
      <c r="S118" s="19">
        <v>0</v>
      </c>
    </row>
    <row r="119" spans="1:19" x14ac:dyDescent="0.25">
      <c r="A119" s="3">
        <v>118</v>
      </c>
      <c r="B119" s="23">
        <v>142.2323249249045</v>
      </c>
      <c r="C119" s="18">
        <v>44791.578043981484</v>
      </c>
      <c r="D119" s="23">
        <v>2.0011901507638439</v>
      </c>
      <c r="E119" s="19">
        <v>24</v>
      </c>
      <c r="F119" s="17">
        <v>1</v>
      </c>
      <c r="G119" s="19">
        <v>-10.001704216003418</v>
      </c>
      <c r="H119" s="17">
        <v>0.56674039363861084</v>
      </c>
      <c r="I119" s="17">
        <f t="shared" si="2"/>
        <v>-1.6002726745605469</v>
      </c>
      <c r="J119" s="17">
        <f t="shared" si="3"/>
        <v>-0.90693916550955689</v>
      </c>
      <c r="K119" s="19">
        <v>0</v>
      </c>
      <c r="L119" s="17">
        <v>0.11934490214259701</v>
      </c>
      <c r="M119" s="19">
        <v>0</v>
      </c>
      <c r="N119" s="17">
        <v>8.1337677492176005E-2</v>
      </c>
      <c r="O119" s="19">
        <v>-3.6916733370162547E-4</v>
      </c>
      <c r="P119" s="17">
        <v>0</v>
      </c>
      <c r="Q119" s="19">
        <v>0</v>
      </c>
      <c r="R119" s="17">
        <v>0</v>
      </c>
      <c r="S119" s="19">
        <v>0</v>
      </c>
    </row>
    <row r="120" spans="1:19" x14ac:dyDescent="0.25">
      <c r="A120" s="3">
        <v>119</v>
      </c>
      <c r="B120" s="23">
        <v>143.23818714837583</v>
      </c>
      <c r="C120" s="18">
        <v>44791.578055555554</v>
      </c>
      <c r="D120" s="23">
        <v>3.0070523778154099</v>
      </c>
      <c r="E120" s="19">
        <v>24</v>
      </c>
      <c r="F120" s="17">
        <v>1</v>
      </c>
      <c r="G120" s="19">
        <v>-10.001704216003418</v>
      </c>
      <c r="H120" s="17">
        <v>0.56704801321029663</v>
      </c>
      <c r="I120" s="17">
        <f t="shared" si="2"/>
        <v>-1.6002726745605469</v>
      </c>
      <c r="J120" s="17">
        <f t="shared" si="3"/>
        <v>-0.90743144070428572</v>
      </c>
      <c r="K120" s="19">
        <v>0</v>
      </c>
      <c r="L120" s="17">
        <v>0.12213952384100001</v>
      </c>
      <c r="M120" s="19">
        <v>0</v>
      </c>
      <c r="N120" s="17">
        <v>8.2921242095044007E-2</v>
      </c>
      <c r="O120" s="19">
        <v>0</v>
      </c>
      <c r="P120" s="17">
        <v>0</v>
      </c>
      <c r="Q120" s="19">
        <v>0</v>
      </c>
      <c r="R120" s="17">
        <v>0</v>
      </c>
      <c r="S120" s="19">
        <v>0</v>
      </c>
    </row>
    <row r="121" spans="1:19" x14ac:dyDescent="0.25">
      <c r="A121" s="3">
        <v>120</v>
      </c>
      <c r="B121" s="23">
        <v>144.24417280271811</v>
      </c>
      <c r="C121" s="18">
        <v>44791.578067129631</v>
      </c>
      <c r="D121" s="23">
        <v>4.013038201502984</v>
      </c>
      <c r="E121" s="19">
        <v>24</v>
      </c>
      <c r="F121" s="17">
        <v>1</v>
      </c>
      <c r="G121" s="19">
        <v>-10.001334190368652</v>
      </c>
      <c r="H121" s="17">
        <v>0.56674039363861084</v>
      </c>
      <c r="I121" s="17">
        <f t="shared" si="2"/>
        <v>-1.6002134704589843</v>
      </c>
      <c r="J121" s="17">
        <f t="shared" si="3"/>
        <v>-0.90690561215373233</v>
      </c>
      <c r="K121" s="19">
        <v>0</v>
      </c>
      <c r="L121" s="17">
        <v>0.124934489844306</v>
      </c>
      <c r="M121" s="19">
        <v>0</v>
      </c>
      <c r="N121" s="17">
        <v>8.4504543823091E-2</v>
      </c>
      <c r="O121" s="19">
        <v>-6.1523911426775157E-5</v>
      </c>
      <c r="P121" s="17">
        <v>0</v>
      </c>
      <c r="Q121" s="19">
        <v>0</v>
      </c>
      <c r="R121" s="17">
        <v>0</v>
      </c>
      <c r="S121" s="19">
        <v>0</v>
      </c>
    </row>
    <row r="122" spans="1:19" x14ac:dyDescent="0.25">
      <c r="A122" s="3">
        <v>121</v>
      </c>
      <c r="B122" s="23">
        <v>145.23529253162246</v>
      </c>
      <c r="C122" s="18">
        <v>44791.5780787037</v>
      </c>
      <c r="D122" s="23">
        <v>5.0041577574818037</v>
      </c>
      <c r="E122" s="19">
        <v>24</v>
      </c>
      <c r="F122" s="17">
        <v>1</v>
      </c>
      <c r="G122" s="19">
        <v>-10.002074241638184</v>
      </c>
      <c r="H122" s="17">
        <v>0.56643277406692505</v>
      </c>
      <c r="I122" s="17">
        <f t="shared" si="2"/>
        <v>-1.6003318786621095</v>
      </c>
      <c r="J122" s="17">
        <f t="shared" si="3"/>
        <v>-0.90648042545831231</v>
      </c>
      <c r="K122" s="19">
        <v>0</v>
      </c>
      <c r="L122" s="17">
        <v>0.12768817411525199</v>
      </c>
      <c r="M122" s="19">
        <v>0</v>
      </c>
      <c r="N122" s="17">
        <v>8.6063964191692002E-2</v>
      </c>
      <c r="O122" s="19">
        <v>-1.2304782285355031E-4</v>
      </c>
      <c r="P122" s="17">
        <v>0</v>
      </c>
      <c r="Q122" s="19">
        <v>0</v>
      </c>
      <c r="R122" s="17">
        <v>0</v>
      </c>
      <c r="S122" s="19">
        <v>0</v>
      </c>
    </row>
    <row r="123" spans="1:19" x14ac:dyDescent="0.25">
      <c r="A123" s="3">
        <v>122</v>
      </c>
      <c r="B123" s="23">
        <v>146.25002848795788</v>
      </c>
      <c r="C123" s="18">
        <v>44791.578090277777</v>
      </c>
      <c r="D123" s="23">
        <v>1.0115765472895799</v>
      </c>
      <c r="E123" s="19">
        <v>25</v>
      </c>
      <c r="F123" s="17">
        <v>1</v>
      </c>
      <c r="G123" s="19">
        <v>-11.254638671875</v>
      </c>
      <c r="H123" s="17">
        <v>0.53751480579376221</v>
      </c>
      <c r="I123" s="17">
        <f t="shared" si="2"/>
        <v>-1.8007421875</v>
      </c>
      <c r="J123" s="17">
        <f t="shared" si="3"/>
        <v>-0.96792558719869703</v>
      </c>
      <c r="K123" s="19">
        <v>0</v>
      </c>
      <c r="L123" s="17">
        <v>0.130722321311941</v>
      </c>
      <c r="M123" s="19">
        <v>0</v>
      </c>
      <c r="N123" s="17">
        <v>8.7717228103603995E-2</v>
      </c>
      <c r="O123" s="19">
        <v>-5.72205800563097E-3</v>
      </c>
      <c r="P123" s="17">
        <v>0</v>
      </c>
      <c r="Q123" s="19">
        <v>0</v>
      </c>
      <c r="R123" s="17">
        <v>0</v>
      </c>
      <c r="S123" s="19">
        <v>0</v>
      </c>
    </row>
    <row r="124" spans="1:19" x14ac:dyDescent="0.25">
      <c r="A124" s="3">
        <v>123</v>
      </c>
      <c r="B124" s="23">
        <v>147.25113551883027</v>
      </c>
      <c r="C124" s="18">
        <v>44791.578101851854</v>
      </c>
      <c r="D124" s="23">
        <v>2.012683867445249</v>
      </c>
      <c r="E124" s="19">
        <v>25</v>
      </c>
      <c r="F124" s="17">
        <v>1</v>
      </c>
      <c r="G124" s="19">
        <v>-11.258390426635742</v>
      </c>
      <c r="H124" s="17">
        <v>0.53720712661743164</v>
      </c>
      <c r="I124" s="17">
        <f t="shared" si="2"/>
        <v>-1.8013424682617187</v>
      </c>
      <c r="J124" s="17">
        <f t="shared" si="3"/>
        <v>-0.96769401142882994</v>
      </c>
      <c r="K124" s="19">
        <v>0</v>
      </c>
      <c r="L124" s="17">
        <v>0.13385239759920001</v>
      </c>
      <c r="M124" s="19">
        <v>0</v>
      </c>
      <c r="N124" s="17">
        <v>8.9399878182022996E-2</v>
      </c>
      <c r="O124" s="19">
        <v>-5.7835937477648258E-3</v>
      </c>
      <c r="P124" s="17">
        <v>0</v>
      </c>
      <c r="Q124" s="19">
        <v>0</v>
      </c>
      <c r="R124" s="17">
        <v>0</v>
      </c>
      <c r="S124" s="19">
        <v>0</v>
      </c>
    </row>
    <row r="125" spans="1:19" x14ac:dyDescent="0.25">
      <c r="A125" s="3">
        <v>124</v>
      </c>
      <c r="B125" s="23">
        <v>148.25700720057569</v>
      </c>
      <c r="C125" s="18">
        <v>44791.578113425923</v>
      </c>
      <c r="D125" s="23">
        <v>3.0185552559691531</v>
      </c>
      <c r="E125" s="19">
        <v>25</v>
      </c>
      <c r="F125" s="17">
        <v>1</v>
      </c>
      <c r="G125" s="19">
        <v>-11.252762794494629</v>
      </c>
      <c r="H125" s="17">
        <v>0.53720712661743164</v>
      </c>
      <c r="I125" s="17">
        <f t="shared" si="2"/>
        <v>-1.8004420471191407</v>
      </c>
      <c r="J125" s="17">
        <f t="shared" si="3"/>
        <v>-0.96721029877408005</v>
      </c>
      <c r="K125" s="19">
        <v>0</v>
      </c>
      <c r="L125" s="17">
        <v>0.13699737332451101</v>
      </c>
      <c r="M125" s="19">
        <v>0</v>
      </c>
      <c r="N125" s="17">
        <v>9.1089684121836004E-2</v>
      </c>
      <c r="O125" s="19">
        <v>-1.2305975542403758E-4</v>
      </c>
      <c r="P125" s="17">
        <v>0</v>
      </c>
      <c r="Q125" s="19">
        <v>0</v>
      </c>
      <c r="R125" s="17">
        <v>0</v>
      </c>
      <c r="S125" s="19">
        <v>0</v>
      </c>
    </row>
    <row r="126" spans="1:19" x14ac:dyDescent="0.25">
      <c r="A126" s="3">
        <v>125</v>
      </c>
      <c r="B126" s="23">
        <v>149.26381774366209</v>
      </c>
      <c r="C126" s="18">
        <v>44791.578125</v>
      </c>
      <c r="D126" s="23">
        <v>4.0253658176727738</v>
      </c>
      <c r="E126" s="19">
        <v>25</v>
      </c>
      <c r="F126" s="17">
        <v>1</v>
      </c>
      <c r="G126" s="19">
        <v>-11.254638671875</v>
      </c>
      <c r="H126" s="17">
        <v>0.53689950704574585</v>
      </c>
      <c r="I126" s="17">
        <f t="shared" si="2"/>
        <v>-1.8007421875</v>
      </c>
      <c r="J126" s="17">
        <f t="shared" si="3"/>
        <v>-0.96681759278522805</v>
      </c>
      <c r="K126" s="19">
        <v>0</v>
      </c>
      <c r="L126" s="17">
        <v>0.14014538400194501</v>
      </c>
      <c r="M126" s="19">
        <v>0</v>
      </c>
      <c r="N126" s="17">
        <v>9.2780052112472006E-2</v>
      </c>
      <c r="O126" s="19">
        <v>-1.8458366685081273E-4</v>
      </c>
      <c r="P126" s="17">
        <v>0</v>
      </c>
      <c r="Q126" s="19">
        <v>0</v>
      </c>
      <c r="R126" s="17">
        <v>0</v>
      </c>
      <c r="S126" s="19">
        <v>0</v>
      </c>
    </row>
    <row r="127" spans="1:19" x14ac:dyDescent="0.25">
      <c r="A127" s="3">
        <v>126</v>
      </c>
      <c r="B127" s="23">
        <v>150.23848665036465</v>
      </c>
      <c r="C127" s="18">
        <v>44791.578136574077</v>
      </c>
      <c r="D127" s="23">
        <v>5.0000347057580976</v>
      </c>
      <c r="E127" s="19">
        <v>25</v>
      </c>
      <c r="F127" s="17">
        <v>1</v>
      </c>
      <c r="G127" s="19">
        <v>-11.254638671875</v>
      </c>
      <c r="H127" s="17">
        <v>0.53659188747406006</v>
      </c>
      <c r="I127" s="17">
        <f t="shared" si="2"/>
        <v>-1.8007421875</v>
      </c>
      <c r="J127" s="17">
        <f t="shared" si="3"/>
        <v>-0.9662636492447928</v>
      </c>
      <c r="K127" s="19">
        <v>0</v>
      </c>
      <c r="L127" s="17">
        <v>0.14319291476908</v>
      </c>
      <c r="M127" s="19">
        <v>0</v>
      </c>
      <c r="N127" s="17">
        <v>9.4415717459057996E-2</v>
      </c>
      <c r="O127" s="19">
        <v>-1.8458366685081273E-4</v>
      </c>
      <c r="P127" s="17">
        <v>0</v>
      </c>
      <c r="Q127" s="19">
        <v>0</v>
      </c>
      <c r="R127" s="17">
        <v>0</v>
      </c>
      <c r="S127" s="19">
        <v>0</v>
      </c>
    </row>
    <row r="128" spans="1:19" x14ac:dyDescent="0.25">
      <c r="A128" s="3">
        <v>127</v>
      </c>
      <c r="B128" s="23">
        <v>151.24237575569884</v>
      </c>
      <c r="C128" s="18">
        <v>44791.578148148146</v>
      </c>
      <c r="D128" s="23">
        <v>1.000896941402236</v>
      </c>
      <c r="E128" s="19">
        <v>26</v>
      </c>
      <c r="F128" s="17">
        <v>1</v>
      </c>
      <c r="G128" s="19">
        <v>-12.509724617004395</v>
      </c>
      <c r="H128" s="17">
        <v>0.50859677791595459</v>
      </c>
      <c r="I128" s="17">
        <f t="shared" si="2"/>
        <v>-2.0015559387207031</v>
      </c>
      <c r="J128" s="17">
        <f t="shared" si="3"/>
        <v>-1.0179849012518936</v>
      </c>
      <c r="K128" s="19">
        <v>0</v>
      </c>
      <c r="L128" s="17">
        <v>0.14667018495791501</v>
      </c>
      <c r="M128" s="19">
        <v>0</v>
      </c>
      <c r="N128" s="17">
        <v>9.6186375655722994E-2</v>
      </c>
      <c r="O128" s="19">
        <v>-4.3070316314697266E-4</v>
      </c>
      <c r="P128" s="17">
        <v>0</v>
      </c>
      <c r="Q128" s="19">
        <v>0</v>
      </c>
      <c r="R128" s="17">
        <v>0</v>
      </c>
      <c r="S128" s="19">
        <v>0</v>
      </c>
    </row>
    <row r="129" spans="1:19" x14ac:dyDescent="0.25">
      <c r="A129" s="3">
        <v>128</v>
      </c>
      <c r="B129" s="23">
        <v>152.24631316382099</v>
      </c>
      <c r="C129" s="18">
        <v>44791.578159722223</v>
      </c>
      <c r="D129" s="23">
        <v>2.0048343455861031</v>
      </c>
      <c r="E129" s="19">
        <v>26</v>
      </c>
      <c r="F129" s="17">
        <v>1</v>
      </c>
      <c r="G129" s="19">
        <v>-12.505971908569336</v>
      </c>
      <c r="H129" s="17">
        <v>0.5082891583442688</v>
      </c>
      <c r="I129" s="17">
        <f t="shared" si="2"/>
        <v>-2.0009555053710937</v>
      </c>
      <c r="J129" s="17">
        <f t="shared" si="3"/>
        <v>-1.0170639897094043</v>
      </c>
      <c r="K129" s="19">
        <v>0</v>
      </c>
      <c r="L129" s="17">
        <v>0.150158007087591</v>
      </c>
      <c r="M129" s="19">
        <v>0</v>
      </c>
      <c r="N129" s="17">
        <v>9.7960069056824001E-2</v>
      </c>
      <c r="O129" s="19">
        <v>-4.9222708912566304E-4</v>
      </c>
      <c r="P129" s="17">
        <v>0</v>
      </c>
      <c r="Q129" s="19">
        <v>0</v>
      </c>
      <c r="R129" s="17">
        <v>0</v>
      </c>
      <c r="S129" s="19">
        <v>0</v>
      </c>
    </row>
    <row r="130" spans="1:19" x14ac:dyDescent="0.25">
      <c r="A130" s="3">
        <v>129</v>
      </c>
      <c r="B130" s="23">
        <v>153.25029096132985</v>
      </c>
      <c r="C130" s="18">
        <v>44791.5781712963</v>
      </c>
      <c r="D130" s="23">
        <v>3.008812143094973</v>
      </c>
      <c r="E130" s="19">
        <v>26</v>
      </c>
      <c r="F130" s="17">
        <v>1</v>
      </c>
      <c r="G130" s="19">
        <v>-12.507847785949707</v>
      </c>
      <c r="H130" s="17">
        <v>0.5082891583442688</v>
      </c>
      <c r="I130" s="17">
        <f t="shared" si="2"/>
        <v>-2.0012556457519532</v>
      </c>
      <c r="J130" s="17">
        <f t="shared" si="3"/>
        <v>-1.0172165478109765</v>
      </c>
      <c r="K130" s="19">
        <v>0</v>
      </c>
      <c r="L130" s="17">
        <v>0.15364605499823</v>
      </c>
      <c r="M130" s="19">
        <v>0</v>
      </c>
      <c r="N130" s="17">
        <v>9.9732483359639995E-2</v>
      </c>
      <c r="O130" s="19">
        <v>-6.1523911426775157E-5</v>
      </c>
      <c r="P130" s="17">
        <v>0</v>
      </c>
      <c r="Q130" s="19">
        <v>0</v>
      </c>
      <c r="R130" s="17">
        <v>0</v>
      </c>
      <c r="S130" s="19">
        <v>0</v>
      </c>
    </row>
    <row r="131" spans="1:19" x14ac:dyDescent="0.25">
      <c r="A131" s="3">
        <v>130</v>
      </c>
      <c r="B131" s="23">
        <v>154.25517639978375</v>
      </c>
      <c r="C131" s="18">
        <v>44791.578182870369</v>
      </c>
      <c r="D131" s="23">
        <v>4.0136975854871464</v>
      </c>
      <c r="E131" s="19">
        <v>26</v>
      </c>
      <c r="F131" s="17">
        <v>1</v>
      </c>
      <c r="G131" s="19">
        <v>-12.505971908569336</v>
      </c>
      <c r="H131" s="17">
        <v>0.50767385959625244</v>
      </c>
      <c r="I131" s="17">
        <f t="shared" si="2"/>
        <v>-2.0009555053710937</v>
      </c>
      <c r="J131" s="17">
        <f t="shared" si="3"/>
        <v>-1.015832804292113</v>
      </c>
      <c r="K131" s="19">
        <v>0</v>
      </c>
      <c r="L131" s="17">
        <v>0.15713725622927999</v>
      </c>
      <c r="M131" s="19">
        <v>0</v>
      </c>
      <c r="N131" s="17">
        <v>0.10150532716253299</v>
      </c>
      <c r="O131" s="19">
        <v>-1.2305975542403758E-4</v>
      </c>
      <c r="P131" s="17">
        <v>0</v>
      </c>
      <c r="Q131" s="19">
        <v>0</v>
      </c>
      <c r="R131" s="17">
        <v>0</v>
      </c>
      <c r="S131" s="19">
        <v>0</v>
      </c>
    </row>
    <row r="132" spans="1:19" x14ac:dyDescent="0.25">
      <c r="A132" s="3">
        <v>131</v>
      </c>
      <c r="B132" s="23">
        <v>155.24443853625527</v>
      </c>
      <c r="C132" s="18">
        <v>44791.578194444446</v>
      </c>
      <c r="D132" s="23">
        <v>5.0029597180204144</v>
      </c>
      <c r="E132" s="19">
        <v>26</v>
      </c>
      <c r="F132" s="17">
        <v>1</v>
      </c>
      <c r="G132" s="19">
        <v>-12.507847785949707</v>
      </c>
      <c r="H132" s="17">
        <v>0.50705862045288086</v>
      </c>
      <c r="I132" s="17">
        <f t="shared" si="2"/>
        <v>-2.0012556457519532</v>
      </c>
      <c r="J132" s="17">
        <f t="shared" si="3"/>
        <v>-1.0147539269085246</v>
      </c>
      <c r="K132" s="19">
        <v>0</v>
      </c>
      <c r="L132" s="17">
        <v>0.16057416684724299</v>
      </c>
      <c r="M132" s="19">
        <v>0</v>
      </c>
      <c r="N132" s="17">
        <v>0.10324945230855501</v>
      </c>
      <c r="O132" s="19">
        <v>-2.4610757827758789E-4</v>
      </c>
      <c r="P132" s="17">
        <v>0</v>
      </c>
      <c r="Q132" s="19">
        <v>0</v>
      </c>
      <c r="R132" s="17">
        <v>0</v>
      </c>
      <c r="S132" s="19">
        <v>0</v>
      </c>
    </row>
    <row r="133" spans="1:19" x14ac:dyDescent="0.25">
      <c r="A133" s="3">
        <v>132</v>
      </c>
      <c r="B133" s="23">
        <v>156.2484414305201</v>
      </c>
      <c r="C133" s="18">
        <v>44791.578206018516</v>
      </c>
      <c r="D133" s="23">
        <v>1.0008158128394511</v>
      </c>
      <c r="E133" s="19">
        <v>27</v>
      </c>
      <c r="F133" s="17">
        <v>1</v>
      </c>
      <c r="G133" s="19">
        <v>-13.759181976318359</v>
      </c>
      <c r="H133" s="17">
        <v>0.47998648881912231</v>
      </c>
      <c r="I133" s="17">
        <f t="shared" si="2"/>
        <v>-2.2014691162109377</v>
      </c>
      <c r="J133" s="17">
        <f t="shared" si="3"/>
        <v>-1.0566754313338242</v>
      </c>
      <c r="K133" s="19">
        <v>0</v>
      </c>
      <c r="L133" s="17">
        <v>0.16440965570240099</v>
      </c>
      <c r="M133" s="19">
        <v>0</v>
      </c>
      <c r="N133" s="17">
        <v>0.105091091648433</v>
      </c>
      <c r="O133" s="19">
        <v>-3.0763744143769145E-4</v>
      </c>
      <c r="P133" s="17">
        <v>0</v>
      </c>
      <c r="Q133" s="19">
        <v>0</v>
      </c>
      <c r="R133" s="17">
        <v>0</v>
      </c>
      <c r="S133" s="19">
        <v>0</v>
      </c>
    </row>
    <row r="134" spans="1:19" x14ac:dyDescent="0.25">
      <c r="A134" s="3">
        <v>133</v>
      </c>
      <c r="B134" s="23">
        <v>157.25039477034559</v>
      </c>
      <c r="C134" s="18">
        <v>44791.578217592592</v>
      </c>
      <c r="D134" s="23">
        <v>2.0027691526649511</v>
      </c>
      <c r="E134" s="19">
        <v>27</v>
      </c>
      <c r="F134" s="17">
        <v>1</v>
      </c>
      <c r="G134" s="19">
        <v>-13.757305145263672</v>
      </c>
      <c r="H134" s="17">
        <v>0.47906357049942017</v>
      </c>
      <c r="I134" s="17">
        <f t="shared" si="2"/>
        <v>-2.2011688232421873</v>
      </c>
      <c r="J134" s="17">
        <f t="shared" si="3"/>
        <v>-1.0544997957344093</v>
      </c>
      <c r="K134" s="19">
        <v>0</v>
      </c>
      <c r="L134" s="17">
        <v>0.16823833746219299</v>
      </c>
      <c r="M134" s="19">
        <v>0</v>
      </c>
      <c r="N134" s="17">
        <v>0.106926627143254</v>
      </c>
      <c r="O134" s="19">
        <v>-4.9222109373658895E-4</v>
      </c>
      <c r="P134" s="17">
        <v>0</v>
      </c>
      <c r="Q134" s="19">
        <v>0</v>
      </c>
      <c r="R134" s="17">
        <v>0</v>
      </c>
      <c r="S134" s="19">
        <v>0</v>
      </c>
    </row>
    <row r="135" spans="1:19" x14ac:dyDescent="0.25">
      <c r="A135" s="3">
        <v>134</v>
      </c>
      <c r="B135" s="23">
        <v>158.2562909545274</v>
      </c>
      <c r="C135" s="18">
        <v>44791.578229166669</v>
      </c>
      <c r="D135" s="23">
        <v>3.0086653368467409</v>
      </c>
      <c r="E135" s="19">
        <v>27</v>
      </c>
      <c r="F135" s="17">
        <v>1</v>
      </c>
      <c r="G135" s="19">
        <v>-13.757305145263672</v>
      </c>
      <c r="H135" s="17">
        <v>0.4784483015537262</v>
      </c>
      <c r="I135" s="17">
        <f t="shared" si="2"/>
        <v>-2.2011688232421873</v>
      </c>
      <c r="J135" s="17">
        <f t="shared" si="3"/>
        <v>-1.0531454849132387</v>
      </c>
      <c r="K135" s="19">
        <v>0</v>
      </c>
      <c r="L135" s="17">
        <v>0.172082063400749</v>
      </c>
      <c r="M135" s="19">
        <v>0</v>
      </c>
      <c r="N135" s="17">
        <v>0.10876733413508601</v>
      </c>
      <c r="O135" s="19">
        <v>-3.0763744143769145E-4</v>
      </c>
      <c r="P135" s="17">
        <v>0</v>
      </c>
      <c r="Q135" s="19">
        <v>0</v>
      </c>
      <c r="R135" s="17">
        <v>0</v>
      </c>
      <c r="S135" s="19">
        <v>0</v>
      </c>
    </row>
    <row r="136" spans="1:19" x14ac:dyDescent="0.25">
      <c r="A136" s="3">
        <v>135</v>
      </c>
      <c r="B136" s="23">
        <v>159.2592215866901</v>
      </c>
      <c r="C136" s="18">
        <v>44791.578240740739</v>
      </c>
      <c r="D136" s="23">
        <v>4.0115959690094556</v>
      </c>
      <c r="E136" s="19">
        <v>27</v>
      </c>
      <c r="F136" s="17">
        <v>1</v>
      </c>
      <c r="G136" s="19">
        <v>-13.755429267883301</v>
      </c>
      <c r="H136" s="17">
        <v>0.47814065217971802</v>
      </c>
      <c r="I136" s="17">
        <f t="shared" si="2"/>
        <v>-2.2008686828613282</v>
      </c>
      <c r="J136" s="17">
        <f t="shared" si="3"/>
        <v>-1.0523247873852324</v>
      </c>
      <c r="K136" s="19">
        <v>0</v>
      </c>
      <c r="L136" s="17">
        <v>0.17591458487014999</v>
      </c>
      <c r="M136" s="19">
        <v>0</v>
      </c>
      <c r="N136" s="17">
        <v>0.110601045235863</v>
      </c>
      <c r="O136" s="19">
        <v>-1.8458366685081273E-4</v>
      </c>
      <c r="P136" s="17">
        <v>0</v>
      </c>
      <c r="Q136" s="19">
        <v>0</v>
      </c>
      <c r="R136" s="17">
        <v>0</v>
      </c>
      <c r="S136" s="19">
        <v>0</v>
      </c>
    </row>
    <row r="137" spans="1:19" x14ac:dyDescent="0.25">
      <c r="A137" s="3">
        <v>136</v>
      </c>
      <c r="B137" s="23">
        <v>160.2514669515343</v>
      </c>
      <c r="C137" s="18">
        <v>44791.578252314815</v>
      </c>
      <c r="D137" s="23">
        <v>5.0038413338536607</v>
      </c>
      <c r="E137" s="19">
        <v>27</v>
      </c>
      <c r="F137" s="17">
        <v>1</v>
      </c>
      <c r="G137" s="19">
        <v>-13.757305145263672</v>
      </c>
      <c r="H137" s="17">
        <v>0.47783303260803223</v>
      </c>
      <c r="I137" s="17">
        <f t="shared" ref="I137:I183" si="4">G137/6.25</f>
        <v>-2.2011688232421873</v>
      </c>
      <c r="J137" s="17">
        <f t="shared" ref="J137:J183" si="5">H137*I137</f>
        <v>-1.051791174092068</v>
      </c>
      <c r="K137" s="19">
        <v>0</v>
      </c>
      <c r="L137" s="17">
        <v>0.17970618970111801</v>
      </c>
      <c r="M137" s="19">
        <v>0</v>
      </c>
      <c r="N137" s="17">
        <v>0.112413642622152</v>
      </c>
      <c r="O137" s="19">
        <v>-1.2305378913879395E-4</v>
      </c>
      <c r="P137" s="17">
        <v>0</v>
      </c>
      <c r="Q137" s="19">
        <v>0</v>
      </c>
      <c r="R137" s="17">
        <v>0</v>
      </c>
      <c r="S137" s="19">
        <v>0</v>
      </c>
    </row>
    <row r="138" spans="1:19" x14ac:dyDescent="0.25">
      <c r="A138" s="3">
        <v>137</v>
      </c>
      <c r="B138" s="23">
        <v>161.25832051548275</v>
      </c>
      <c r="C138" s="18">
        <v>44791.5782638889</v>
      </c>
      <c r="D138" s="23">
        <v>1.003711037517319</v>
      </c>
      <c r="E138" s="19">
        <v>28</v>
      </c>
      <c r="F138" s="17">
        <v>1</v>
      </c>
      <c r="G138" s="19">
        <v>-15.008639335632324</v>
      </c>
      <c r="H138" s="17">
        <v>0.45045322179794312</v>
      </c>
      <c r="I138" s="17">
        <f t="shared" si="4"/>
        <v>-2.4013822937011717</v>
      </c>
      <c r="J138" s="17">
        <f t="shared" si="5"/>
        <v>-1.0817103909662273</v>
      </c>
      <c r="K138" s="19">
        <v>0</v>
      </c>
      <c r="L138" s="17">
        <v>0.18387886160988201</v>
      </c>
      <c r="M138" s="19">
        <v>0</v>
      </c>
      <c r="N138" s="17">
        <v>0.114298138838545</v>
      </c>
      <c r="O138" s="19">
        <v>-5.4759620688855648E-3</v>
      </c>
      <c r="P138" s="17">
        <v>0</v>
      </c>
      <c r="Q138" s="19">
        <v>0</v>
      </c>
      <c r="R138" s="17">
        <v>0</v>
      </c>
      <c r="S138" s="19">
        <v>0</v>
      </c>
    </row>
    <row r="139" spans="1:19" x14ac:dyDescent="0.25">
      <c r="A139" s="3">
        <v>138</v>
      </c>
      <c r="B139" s="23">
        <v>162.26030547418469</v>
      </c>
      <c r="C139" s="18">
        <v>44791.578275462962</v>
      </c>
      <c r="D139" s="23">
        <v>2.0056959811822659</v>
      </c>
      <c r="E139" s="19">
        <v>28</v>
      </c>
      <c r="F139" s="17">
        <v>1</v>
      </c>
      <c r="G139" s="19">
        <v>-15.004886627197266</v>
      </c>
      <c r="H139" s="17">
        <v>0.45014560222625732</v>
      </c>
      <c r="I139" s="17">
        <f t="shared" si="4"/>
        <v>-2.4007818603515627</v>
      </c>
      <c r="J139" s="17">
        <f t="shared" si="5"/>
        <v>-1.0807013963418286</v>
      </c>
      <c r="K139" s="19">
        <v>0</v>
      </c>
      <c r="L139" s="17">
        <v>0.188055542528484</v>
      </c>
      <c r="M139" s="19">
        <v>0</v>
      </c>
      <c r="N139" s="17">
        <v>0.11617830305008001</v>
      </c>
      <c r="O139" s="19">
        <v>-5.5374861694872379E-3</v>
      </c>
      <c r="P139" s="17">
        <v>0</v>
      </c>
      <c r="Q139" s="19">
        <v>0</v>
      </c>
      <c r="R139" s="17">
        <v>0</v>
      </c>
      <c r="S139" s="19">
        <v>0</v>
      </c>
    </row>
    <row r="140" spans="1:19" x14ac:dyDescent="0.25">
      <c r="A140" s="3">
        <v>139</v>
      </c>
      <c r="B140" s="23">
        <v>163.26628991804833</v>
      </c>
      <c r="C140" s="18">
        <v>44791.578287037039</v>
      </c>
      <c r="D140" s="23">
        <v>3.0116804250459168</v>
      </c>
      <c r="E140" s="19">
        <v>28</v>
      </c>
      <c r="F140" s="17">
        <v>1</v>
      </c>
      <c r="G140" s="19">
        <v>-15.006762504577637</v>
      </c>
      <c r="H140" s="17">
        <v>0.44922268390655518</v>
      </c>
      <c r="I140" s="17">
        <f t="shared" si="4"/>
        <v>-2.4010820007324218</v>
      </c>
      <c r="J140" s="17">
        <f t="shared" si="5"/>
        <v>-1.0786205006487397</v>
      </c>
      <c r="K140" s="19">
        <v>0</v>
      </c>
      <c r="L140" s="17">
        <v>0.192249021486113</v>
      </c>
      <c r="M140" s="19">
        <v>0</v>
      </c>
      <c r="N140" s="17">
        <v>0.118063432128839</v>
      </c>
      <c r="O140" s="19">
        <v>-3.0763744143769145E-4</v>
      </c>
      <c r="P140" s="17">
        <v>0</v>
      </c>
      <c r="Q140" s="19">
        <v>0</v>
      </c>
      <c r="R140" s="17">
        <v>0</v>
      </c>
      <c r="S140" s="19">
        <v>0</v>
      </c>
    </row>
    <row r="141" spans="1:19" x14ac:dyDescent="0.25">
      <c r="A141" s="3">
        <v>140</v>
      </c>
      <c r="B141" s="23">
        <v>164.27610361747298</v>
      </c>
      <c r="C141" s="18">
        <v>44791.578298611101</v>
      </c>
      <c r="D141" s="23">
        <v>4.0214941395075741</v>
      </c>
      <c r="E141" s="19">
        <v>28</v>
      </c>
      <c r="F141" s="17">
        <v>1</v>
      </c>
      <c r="G141" s="19">
        <v>-15.010515213012695</v>
      </c>
      <c r="H141" s="17">
        <v>0.44860741496086121</v>
      </c>
      <c r="I141" s="17">
        <f t="shared" si="4"/>
        <v>-2.4016824340820313</v>
      </c>
      <c r="J141" s="17">
        <f t="shared" si="5"/>
        <v>-1.0774125483104491</v>
      </c>
      <c r="K141" s="19">
        <v>0</v>
      </c>
      <c r="L141" s="17">
        <v>0.19645844315072999</v>
      </c>
      <c r="M141" s="19">
        <v>0</v>
      </c>
      <c r="N141" s="17">
        <v>0.119953547595139</v>
      </c>
      <c r="O141" s="19">
        <v>-3.0763744143769145E-4</v>
      </c>
      <c r="P141" s="17">
        <v>0</v>
      </c>
      <c r="Q141" s="19">
        <v>0</v>
      </c>
      <c r="R141" s="17">
        <v>0</v>
      </c>
      <c r="S141" s="19">
        <v>0</v>
      </c>
    </row>
    <row r="142" spans="1:19" x14ac:dyDescent="0.25">
      <c r="A142" s="3">
        <v>141</v>
      </c>
      <c r="B142" s="23">
        <v>165.26533198083857</v>
      </c>
      <c r="C142" s="18">
        <v>44791.578310185185</v>
      </c>
      <c r="D142" s="23">
        <v>5.0107224914163782</v>
      </c>
      <c r="E142" s="19">
        <v>28</v>
      </c>
      <c r="F142" s="17">
        <v>1</v>
      </c>
      <c r="G142" s="19">
        <v>-15.006762504577637</v>
      </c>
      <c r="H142" s="17">
        <v>0.44829976558685303</v>
      </c>
      <c r="I142" s="17">
        <f t="shared" si="4"/>
        <v>-2.4010820007324218</v>
      </c>
      <c r="J142" s="17">
        <f t="shared" si="5"/>
        <v>-1.0764044980831569</v>
      </c>
      <c r="K142" s="19">
        <v>0</v>
      </c>
      <c r="L142" s="17">
        <v>0.20058202211323301</v>
      </c>
      <c r="M142" s="19">
        <v>0</v>
      </c>
      <c r="N142" s="17">
        <v>0.121803045017949</v>
      </c>
      <c r="O142" s="19">
        <v>-1.8458366685081273E-4</v>
      </c>
      <c r="P142" s="17">
        <v>0</v>
      </c>
      <c r="Q142" s="19">
        <v>0</v>
      </c>
      <c r="R142" s="17">
        <v>0</v>
      </c>
      <c r="S142" s="19">
        <v>0</v>
      </c>
    </row>
    <row r="143" spans="1:19" x14ac:dyDescent="0.25">
      <c r="A143" s="3">
        <v>142</v>
      </c>
      <c r="B143" s="23">
        <v>166.27319326807751</v>
      </c>
      <c r="C143" s="18">
        <v>44791.578321759262</v>
      </c>
      <c r="D143" s="23">
        <v>1.0046649244032639</v>
      </c>
      <c r="E143" s="19">
        <v>29</v>
      </c>
      <c r="F143" s="17">
        <v>1</v>
      </c>
      <c r="G143" s="19">
        <v>-16.256219863891602</v>
      </c>
      <c r="H143" s="17">
        <v>0.4209199845790863</v>
      </c>
      <c r="I143" s="17">
        <f t="shared" si="4"/>
        <v>-2.6009951782226564</v>
      </c>
      <c r="J143" s="17">
        <f t="shared" si="5"/>
        <v>-1.0948108503077583</v>
      </c>
      <c r="K143" s="19">
        <v>0</v>
      </c>
      <c r="L143" s="17">
        <v>0.20513241183240899</v>
      </c>
      <c r="M143" s="19">
        <v>0</v>
      </c>
      <c r="N143" s="17">
        <v>0.123720703123362</v>
      </c>
      <c r="O143" s="19">
        <v>-4.9222109373658895E-4</v>
      </c>
      <c r="P143" s="17">
        <v>0</v>
      </c>
      <c r="Q143" s="19">
        <v>0</v>
      </c>
      <c r="R143" s="17">
        <v>0</v>
      </c>
      <c r="S143" s="19">
        <v>0</v>
      </c>
    </row>
    <row r="144" spans="1:19" x14ac:dyDescent="0.25">
      <c r="A144" s="3">
        <v>143</v>
      </c>
      <c r="B144" s="23">
        <v>167.27723220245531</v>
      </c>
      <c r="C144" s="18">
        <v>44791.578333333331</v>
      </c>
      <c r="D144" s="23">
        <v>2.0087038587810722</v>
      </c>
      <c r="E144" s="19">
        <v>29</v>
      </c>
      <c r="F144" s="17">
        <v>1</v>
      </c>
      <c r="G144" s="19">
        <v>-16.259971618652344</v>
      </c>
      <c r="H144" s="17">
        <v>0.41999706625938416</v>
      </c>
      <c r="I144" s="17">
        <f t="shared" si="4"/>
        <v>-2.6015954589843751</v>
      </c>
      <c r="J144" s="17">
        <f t="shared" si="5"/>
        <v>-1.0926624603671735</v>
      </c>
      <c r="K144" s="19">
        <v>0</v>
      </c>
      <c r="L144" s="17">
        <v>0.20966671641932999</v>
      </c>
      <c r="M144" s="19">
        <v>0</v>
      </c>
      <c r="N144" s="17">
        <v>0.125627203393403</v>
      </c>
      <c r="O144" s="19">
        <v>-6.7680480424314737E-4</v>
      </c>
      <c r="P144" s="17">
        <v>0</v>
      </c>
      <c r="Q144" s="19">
        <v>0</v>
      </c>
      <c r="R144" s="17">
        <v>0</v>
      </c>
      <c r="S144" s="19">
        <v>0</v>
      </c>
    </row>
    <row r="145" spans="1:19" x14ac:dyDescent="0.25">
      <c r="A145" s="3">
        <v>144</v>
      </c>
      <c r="B145" s="23">
        <v>168.28204248597442</v>
      </c>
      <c r="C145" s="18">
        <v>44791.578344907408</v>
      </c>
      <c r="D145" s="23">
        <v>3.0135141458803991</v>
      </c>
      <c r="E145" s="19">
        <v>29</v>
      </c>
      <c r="F145" s="17">
        <v>1</v>
      </c>
      <c r="G145" s="19">
        <v>-16.256219863891602</v>
      </c>
      <c r="H145" s="17">
        <v>0.41999706625938416</v>
      </c>
      <c r="I145" s="17">
        <f t="shared" si="4"/>
        <v>-2.6009951782226564</v>
      </c>
      <c r="J145" s="17">
        <f t="shared" si="5"/>
        <v>-1.0924103442083197</v>
      </c>
      <c r="K145" s="19">
        <v>0</v>
      </c>
      <c r="L145" s="17">
        <v>0.21420447978597801</v>
      </c>
      <c r="M145" s="19">
        <v>0</v>
      </c>
      <c r="N145" s="17">
        <v>0.127532309994279</v>
      </c>
      <c r="O145" s="19">
        <v>-1.8458366685081273E-4</v>
      </c>
      <c r="P145" s="17">
        <v>0</v>
      </c>
      <c r="Q145" s="19">
        <v>0</v>
      </c>
      <c r="R145" s="17">
        <v>0</v>
      </c>
      <c r="S145" s="19">
        <v>0</v>
      </c>
    </row>
    <row r="146" spans="1:19" x14ac:dyDescent="0.25">
      <c r="A146" s="3">
        <v>145</v>
      </c>
      <c r="B146" s="23">
        <v>169.28305634364563</v>
      </c>
      <c r="C146" s="18">
        <v>44791.578356481485</v>
      </c>
      <c r="D146" s="23">
        <v>4.0145280039096214</v>
      </c>
      <c r="E146" s="19">
        <v>29</v>
      </c>
      <c r="F146" s="17">
        <v>1</v>
      </c>
      <c r="G146" s="19">
        <v>-16.256219863891602</v>
      </c>
      <c r="H146" s="17">
        <v>0.41907414793968201</v>
      </c>
      <c r="I146" s="17">
        <f t="shared" si="4"/>
        <v>-2.6009951782226564</v>
      </c>
      <c r="J146" s="17">
        <f t="shared" si="5"/>
        <v>-1.090009838108881</v>
      </c>
      <c r="K146" s="19">
        <v>0</v>
      </c>
      <c r="L146" s="17">
        <v>0.21872531024994499</v>
      </c>
      <c r="M146" s="19">
        <v>0</v>
      </c>
      <c r="N146" s="17">
        <v>0.12942775425254699</v>
      </c>
      <c r="O146" s="19">
        <v>-1.8458366685081273E-4</v>
      </c>
      <c r="P146" s="17">
        <v>0</v>
      </c>
      <c r="Q146" s="19">
        <v>0</v>
      </c>
      <c r="R146" s="17">
        <v>0</v>
      </c>
      <c r="S146" s="19">
        <v>0</v>
      </c>
    </row>
    <row r="147" spans="1:19" x14ac:dyDescent="0.25">
      <c r="A147" s="3">
        <v>146</v>
      </c>
      <c r="B147" s="23">
        <v>170.27333026733643</v>
      </c>
      <c r="C147" s="18">
        <v>44791.578368055554</v>
      </c>
      <c r="D147" s="23">
        <v>5.0048019462176567</v>
      </c>
      <c r="E147" s="19">
        <v>29</v>
      </c>
      <c r="F147" s="17">
        <v>1</v>
      </c>
      <c r="G147" s="19">
        <v>-16.256219863891602</v>
      </c>
      <c r="H147" s="17">
        <v>0.41876649856567383</v>
      </c>
      <c r="I147" s="17">
        <f t="shared" si="4"/>
        <v>-2.6009951782226564</v>
      </c>
      <c r="J147" s="17">
        <f t="shared" si="5"/>
        <v>-1.0892096435705025</v>
      </c>
      <c r="K147" s="19">
        <v>0</v>
      </c>
      <c r="L147" s="17">
        <v>0.22319745709348199</v>
      </c>
      <c r="M147" s="19">
        <v>0</v>
      </c>
      <c r="N147" s="17">
        <v>0.13130052652458701</v>
      </c>
      <c r="O147" s="19">
        <v>-1.8458366685081273E-4</v>
      </c>
      <c r="P147" s="17">
        <v>0</v>
      </c>
      <c r="Q147" s="19">
        <v>0</v>
      </c>
      <c r="R147" s="17">
        <v>0</v>
      </c>
      <c r="S147" s="19">
        <v>0</v>
      </c>
    </row>
    <row r="148" spans="1:19" x14ac:dyDescent="0.25">
      <c r="A148" s="3">
        <v>147</v>
      </c>
      <c r="B148" s="23">
        <v>171.27629130037843</v>
      </c>
      <c r="C148" s="18">
        <v>44791.578379629631</v>
      </c>
      <c r="D148" s="23">
        <v>1.000097860091439</v>
      </c>
      <c r="E148" s="19">
        <v>30</v>
      </c>
      <c r="F148" s="17">
        <v>1</v>
      </c>
      <c r="G148" s="19">
        <v>-17.507553100585938</v>
      </c>
      <c r="H148" s="17">
        <v>0.39077144861221313</v>
      </c>
      <c r="I148" s="17">
        <f t="shared" si="4"/>
        <v>-2.80120849609375</v>
      </c>
      <c r="J148" s="17">
        <f t="shared" si="5"/>
        <v>-1.0946323018833937</v>
      </c>
      <c r="K148" s="19">
        <v>0</v>
      </c>
      <c r="L148" s="17">
        <v>0.22807387858716699</v>
      </c>
      <c r="M148" s="19">
        <v>0</v>
      </c>
      <c r="N148" s="17">
        <v>0.13321090662488499</v>
      </c>
      <c r="O148" s="19">
        <v>-5.5374501971527934E-4</v>
      </c>
      <c r="P148" s="17">
        <v>0</v>
      </c>
      <c r="Q148" s="19">
        <v>0</v>
      </c>
      <c r="R148" s="17">
        <v>0</v>
      </c>
      <c r="S148" s="19">
        <v>0</v>
      </c>
    </row>
    <row r="149" spans="1:19" x14ac:dyDescent="0.25">
      <c r="A149" s="3">
        <v>148</v>
      </c>
      <c r="B149" s="23">
        <v>172.28124848036776</v>
      </c>
      <c r="C149" s="18">
        <v>44791.5783912037</v>
      </c>
      <c r="D149" s="23">
        <v>2.0050550440190329</v>
      </c>
      <c r="E149" s="19">
        <v>30</v>
      </c>
      <c r="F149" s="17">
        <v>1</v>
      </c>
      <c r="G149" s="19">
        <v>-17.507553100585938</v>
      </c>
      <c r="H149" s="17">
        <v>0.39046379923820496</v>
      </c>
      <c r="I149" s="17">
        <f t="shared" si="4"/>
        <v>-2.80120849609375</v>
      </c>
      <c r="J149" s="17">
        <f t="shared" si="5"/>
        <v>-1.093770511843104</v>
      </c>
      <c r="K149" s="19">
        <v>0</v>
      </c>
      <c r="L149" s="17">
        <v>0.232961024613491</v>
      </c>
      <c r="M149" s="19">
        <v>0</v>
      </c>
      <c r="N149" s="17">
        <v>0.13512057802695701</v>
      </c>
      <c r="O149" s="19">
        <v>-6.152748828753829E-4</v>
      </c>
      <c r="P149" s="17">
        <v>0</v>
      </c>
      <c r="Q149" s="19">
        <v>0</v>
      </c>
      <c r="R149" s="17">
        <v>0</v>
      </c>
      <c r="S149" s="19">
        <v>0</v>
      </c>
    </row>
    <row r="150" spans="1:19" x14ac:dyDescent="0.25">
      <c r="A150" s="3">
        <v>149</v>
      </c>
      <c r="B150" s="23">
        <v>173.28907592325402</v>
      </c>
      <c r="C150" s="18">
        <v>44791.578402777777</v>
      </c>
      <c r="D150" s="23">
        <v>3.0128824869052782</v>
      </c>
      <c r="E150" s="19">
        <v>30</v>
      </c>
      <c r="F150" s="17">
        <v>1</v>
      </c>
      <c r="G150" s="19">
        <v>-17.507553100585938</v>
      </c>
      <c r="H150" s="17">
        <v>0.38954088091850281</v>
      </c>
      <c r="I150" s="17">
        <f t="shared" si="4"/>
        <v>-2.80120849609375</v>
      </c>
      <c r="J150" s="17">
        <f t="shared" si="5"/>
        <v>-1.0911852252047538</v>
      </c>
      <c r="K150" s="19">
        <v>0</v>
      </c>
      <c r="L150" s="17">
        <v>0.23786215261720201</v>
      </c>
      <c r="M150" s="19">
        <v>0</v>
      </c>
      <c r="N150" s="17">
        <v>0.137031973845988</v>
      </c>
      <c r="O150" s="19">
        <v>-3.0763744143769145E-4</v>
      </c>
      <c r="P150" s="17">
        <v>0</v>
      </c>
      <c r="Q150" s="19">
        <v>0</v>
      </c>
      <c r="R150" s="17">
        <v>0</v>
      </c>
      <c r="S150" s="19">
        <v>0</v>
      </c>
    </row>
    <row r="151" spans="1:19" x14ac:dyDescent="0.25">
      <c r="A151" s="3">
        <v>150</v>
      </c>
      <c r="B151" s="23">
        <v>174.2929763929813</v>
      </c>
      <c r="C151" s="18">
        <v>44791.578414351854</v>
      </c>
      <c r="D151" s="23">
        <v>4.0167831707308341</v>
      </c>
      <c r="E151" s="19">
        <v>30</v>
      </c>
      <c r="F151" s="17">
        <v>1</v>
      </c>
      <c r="G151" s="19">
        <v>-17.505678176879883</v>
      </c>
      <c r="H151" s="17">
        <v>0.38923326134681702</v>
      </c>
      <c r="I151" s="17">
        <f t="shared" si="4"/>
        <v>-2.8009085083007812</v>
      </c>
      <c r="J151" s="17">
        <f t="shared" si="5"/>
        <v>-1.0902067534199613</v>
      </c>
      <c r="K151" s="19">
        <v>0</v>
      </c>
      <c r="L151" s="17">
        <v>0.242744114910806</v>
      </c>
      <c r="M151" s="19">
        <v>0</v>
      </c>
      <c r="N151" s="17">
        <v>0.13893323958096701</v>
      </c>
      <c r="O151" s="19">
        <v>-2.4610757827758789E-4</v>
      </c>
      <c r="P151" s="17">
        <v>0</v>
      </c>
      <c r="Q151" s="19">
        <v>0</v>
      </c>
      <c r="R151" s="17">
        <v>0</v>
      </c>
      <c r="S151" s="19">
        <v>0</v>
      </c>
    </row>
    <row r="152" spans="1:19" x14ac:dyDescent="0.25">
      <c r="A152" s="3">
        <v>151</v>
      </c>
      <c r="B152" s="23">
        <v>175.28524015953542</v>
      </c>
      <c r="C152" s="18">
        <v>44791.578425925924</v>
      </c>
      <c r="D152" s="23">
        <v>5.0090467342854383</v>
      </c>
      <c r="E152" s="19">
        <v>30</v>
      </c>
      <c r="F152" s="17">
        <v>1</v>
      </c>
      <c r="G152" s="19">
        <v>-17.505678176879883</v>
      </c>
      <c r="H152" s="17">
        <v>0.38861796259880066</v>
      </c>
      <c r="I152" s="17">
        <f t="shared" si="4"/>
        <v>-2.8009085083007812</v>
      </c>
      <c r="J152" s="17">
        <f t="shared" si="5"/>
        <v>-1.0884833579214956</v>
      </c>
      <c r="K152" s="19">
        <v>0</v>
      </c>
      <c r="L152" s="17">
        <v>0.24756957683279401</v>
      </c>
      <c r="M152" s="19">
        <v>0</v>
      </c>
      <c r="N152" s="17">
        <v>0.140809535701762</v>
      </c>
      <c r="O152" s="19">
        <v>-1.8458366685081273E-4</v>
      </c>
      <c r="P152" s="17">
        <v>0</v>
      </c>
      <c r="Q152" s="19">
        <v>0</v>
      </c>
      <c r="R152" s="17">
        <v>0</v>
      </c>
      <c r="S152" s="19">
        <v>0</v>
      </c>
    </row>
    <row r="153" spans="1:19" x14ac:dyDescent="0.25">
      <c r="A153" s="3">
        <v>152</v>
      </c>
      <c r="B153" s="23">
        <v>176.29304420842718</v>
      </c>
      <c r="C153" s="18">
        <v>44791.5784375</v>
      </c>
      <c r="D153" s="23">
        <v>1.0047306851502451</v>
      </c>
      <c r="E153" s="19">
        <v>31</v>
      </c>
      <c r="F153" s="17">
        <v>1</v>
      </c>
      <c r="G153" s="19">
        <v>-18.755134582519531</v>
      </c>
      <c r="H153" s="17">
        <v>0.36123818159103394</v>
      </c>
      <c r="I153" s="17">
        <f t="shared" si="4"/>
        <v>-3.0008215332031249</v>
      </c>
      <c r="J153" s="17">
        <f t="shared" si="5"/>
        <v>-1.0840113139335152</v>
      </c>
      <c r="K153" s="19">
        <v>0</v>
      </c>
      <c r="L153" s="17">
        <v>0.25280496883054998</v>
      </c>
      <c r="M153" s="19">
        <v>0</v>
      </c>
      <c r="N153" s="17">
        <v>0.14270923259372101</v>
      </c>
      <c r="O153" s="19">
        <v>-5.4759560152888298E-3</v>
      </c>
      <c r="P153" s="17">
        <v>0</v>
      </c>
      <c r="Q153" s="19">
        <v>0</v>
      </c>
      <c r="R153" s="17">
        <v>0</v>
      </c>
      <c r="S153" s="19">
        <v>0</v>
      </c>
    </row>
    <row r="154" spans="1:19" x14ac:dyDescent="0.25">
      <c r="A154" s="3">
        <v>153</v>
      </c>
      <c r="B154" s="23">
        <v>177.29799931331024</v>
      </c>
      <c r="C154" s="18">
        <v>44791.578449074077</v>
      </c>
      <c r="D154" s="23">
        <v>2.0096858691566029</v>
      </c>
      <c r="E154" s="19">
        <v>31</v>
      </c>
      <c r="F154" s="17">
        <v>1</v>
      </c>
      <c r="G154" s="19">
        <v>-18.757011413574219</v>
      </c>
      <c r="H154" s="17">
        <v>0.36031526327133179</v>
      </c>
      <c r="I154" s="17">
        <f t="shared" si="4"/>
        <v>-3.0011218261718748</v>
      </c>
      <c r="J154" s="17">
        <f t="shared" si="5"/>
        <v>-1.0813500009064592</v>
      </c>
      <c r="K154" s="19">
        <v>0</v>
      </c>
      <c r="L154" s="17">
        <v>0.25804101517122002</v>
      </c>
      <c r="M154" s="19">
        <v>0</v>
      </c>
      <c r="N154" s="17">
        <v>0.14459800590251701</v>
      </c>
      <c r="O154" s="19">
        <v>-5.6605399586260319E-3</v>
      </c>
      <c r="P154" s="17">
        <v>0</v>
      </c>
      <c r="Q154" s="19">
        <v>0</v>
      </c>
      <c r="R154" s="17">
        <v>0</v>
      </c>
      <c r="S154" s="19">
        <v>0</v>
      </c>
    </row>
    <row r="155" spans="1:19" x14ac:dyDescent="0.25">
      <c r="A155" s="3">
        <v>154</v>
      </c>
      <c r="B155" s="23">
        <v>178.3029037585344</v>
      </c>
      <c r="C155" s="18">
        <v>44791.578460648147</v>
      </c>
      <c r="D155" s="23">
        <v>3.0145902316772339</v>
      </c>
      <c r="E155" s="19">
        <v>31</v>
      </c>
      <c r="F155" s="17">
        <v>1</v>
      </c>
      <c r="G155" s="19">
        <v>-18.758886337280273</v>
      </c>
      <c r="H155" s="17">
        <v>0.360007643699646</v>
      </c>
      <c r="I155" s="17">
        <f t="shared" si="4"/>
        <v>-3.0014218139648436</v>
      </c>
      <c r="J155" s="17">
        <f t="shared" si="5"/>
        <v>-1.0805347949942006</v>
      </c>
      <c r="K155" s="19">
        <v>0</v>
      </c>
      <c r="L155" s="17">
        <v>0.26327678666034299</v>
      </c>
      <c r="M155" s="19">
        <v>0</v>
      </c>
      <c r="N155" s="17">
        <v>0.14648336432359099</v>
      </c>
      <c r="O155" s="19">
        <v>-3.0763744143769145E-4</v>
      </c>
      <c r="P155" s="17">
        <v>0</v>
      </c>
      <c r="Q155" s="19">
        <v>0</v>
      </c>
      <c r="R155" s="17">
        <v>0</v>
      </c>
      <c r="S155" s="19">
        <v>0</v>
      </c>
    </row>
    <row r="156" spans="1:19" x14ac:dyDescent="0.25">
      <c r="A156" s="3">
        <v>155</v>
      </c>
      <c r="B156" s="23">
        <v>179.30984197328425</v>
      </c>
      <c r="C156" s="18">
        <v>44791.578472222223</v>
      </c>
      <c r="D156" s="23">
        <v>4.0215284424888393</v>
      </c>
      <c r="E156" s="19">
        <v>31</v>
      </c>
      <c r="F156" s="17">
        <v>1</v>
      </c>
      <c r="G156" s="19">
        <v>-18.757011413574219</v>
      </c>
      <c r="H156" s="17">
        <v>0.35877707600593567</v>
      </c>
      <c r="I156" s="17">
        <f t="shared" si="4"/>
        <v>-3.0011218261718748</v>
      </c>
      <c r="J156" s="17">
        <f t="shared" si="5"/>
        <v>-1.0767337135315391</v>
      </c>
      <c r="K156" s="19">
        <v>0</v>
      </c>
      <c r="L156" s="17">
        <v>0.26852327039450102</v>
      </c>
      <c r="M156" s="19">
        <v>0</v>
      </c>
      <c r="N156" s="17">
        <v>0.14836903855799</v>
      </c>
      <c r="O156" s="19">
        <v>-3.6916733370162547E-4</v>
      </c>
      <c r="P156" s="17">
        <v>0</v>
      </c>
      <c r="Q156" s="19">
        <v>0</v>
      </c>
      <c r="R156" s="17">
        <v>0</v>
      </c>
      <c r="S156" s="19">
        <v>0</v>
      </c>
    </row>
    <row r="157" spans="1:19" x14ac:dyDescent="0.25">
      <c r="A157" s="3">
        <v>156</v>
      </c>
      <c r="B157" s="23">
        <v>180.30298125422911</v>
      </c>
      <c r="C157" s="18">
        <v>44791.578483796293</v>
      </c>
      <c r="D157" s="23">
        <v>5.0146677309522358</v>
      </c>
      <c r="E157" s="19">
        <v>31</v>
      </c>
      <c r="F157" s="17">
        <v>1</v>
      </c>
      <c r="G157" s="19">
        <v>-18.753259658813477</v>
      </c>
      <c r="H157" s="17">
        <v>0.35877707600593567</v>
      </c>
      <c r="I157" s="17">
        <f t="shared" si="4"/>
        <v>-3.0005215454101561</v>
      </c>
      <c r="J157" s="17">
        <f t="shared" si="5"/>
        <v>-1.0765183465550672</v>
      </c>
      <c r="K157" s="19">
        <v>0</v>
      </c>
      <c r="L157" s="17">
        <v>0.27369771473700499</v>
      </c>
      <c r="M157" s="19">
        <v>0</v>
      </c>
      <c r="N157" s="17">
        <v>0.150225739152689</v>
      </c>
      <c r="O157" s="19">
        <v>-2.4611354456283152E-4</v>
      </c>
      <c r="P157" s="17">
        <v>0</v>
      </c>
      <c r="Q157" s="19">
        <v>0</v>
      </c>
      <c r="R157" s="17">
        <v>0</v>
      </c>
      <c r="S157" s="19">
        <v>0</v>
      </c>
    </row>
    <row r="158" spans="1:19" x14ac:dyDescent="0.25">
      <c r="A158" s="3">
        <v>157</v>
      </c>
      <c r="B158" s="23">
        <v>181.31961708310808</v>
      </c>
      <c r="C158" s="18">
        <v>44791.57849537037</v>
      </c>
      <c r="D158" s="23">
        <v>1.013676126253531</v>
      </c>
      <c r="E158" s="19">
        <v>32</v>
      </c>
      <c r="F158" s="17">
        <v>1</v>
      </c>
      <c r="G158" s="19">
        <v>-20.010221481323242</v>
      </c>
      <c r="H158" s="17">
        <v>0.33108964562416077</v>
      </c>
      <c r="I158" s="17">
        <f t="shared" si="4"/>
        <v>-3.2016354370117188</v>
      </c>
      <c r="J158" s="17">
        <f t="shared" si="5"/>
        <v>-1.0600283422579651</v>
      </c>
      <c r="K158" s="19">
        <v>0</v>
      </c>
      <c r="L158" s="17">
        <v>0.27933175417031503</v>
      </c>
      <c r="M158" s="19">
        <v>0</v>
      </c>
      <c r="N158" s="17">
        <v>0.15209444024811899</v>
      </c>
      <c r="O158" s="19">
        <v>-3.0763744143769145E-4</v>
      </c>
      <c r="P158" s="17">
        <v>0</v>
      </c>
      <c r="Q158" s="19">
        <v>0</v>
      </c>
      <c r="R158" s="17">
        <v>0</v>
      </c>
      <c r="S158" s="19">
        <v>0</v>
      </c>
    </row>
    <row r="159" spans="1:19" x14ac:dyDescent="0.25">
      <c r="A159" s="3">
        <v>158</v>
      </c>
      <c r="B159" s="23">
        <v>182.32262906903057</v>
      </c>
      <c r="C159" s="18">
        <v>44791.578506944446</v>
      </c>
      <c r="D159" s="23">
        <v>2.016688108237771</v>
      </c>
      <c r="E159" s="19">
        <v>32</v>
      </c>
      <c r="F159" s="17">
        <v>1</v>
      </c>
      <c r="G159" s="19">
        <v>-20.010221481323242</v>
      </c>
      <c r="H159" s="17">
        <v>0.3304743766784668</v>
      </c>
      <c r="I159" s="17">
        <f t="shared" si="4"/>
        <v>-3.2016354370117188</v>
      </c>
      <c r="J159" s="17">
        <f t="shared" si="5"/>
        <v>-1.0580584753981384</v>
      </c>
      <c r="K159" s="19">
        <v>0</v>
      </c>
      <c r="L159" s="17">
        <v>0.2849064985807</v>
      </c>
      <c r="M159" s="19">
        <v>0</v>
      </c>
      <c r="N159" s="17">
        <v>0.15393745080229401</v>
      </c>
      <c r="O159" s="19">
        <v>-4.306912305764854E-4</v>
      </c>
      <c r="P159" s="17">
        <v>0</v>
      </c>
      <c r="Q159" s="19">
        <v>0</v>
      </c>
      <c r="R159" s="17">
        <v>0</v>
      </c>
      <c r="S159" s="19">
        <v>0</v>
      </c>
    </row>
    <row r="160" spans="1:19" x14ac:dyDescent="0.25">
      <c r="A160" s="3">
        <v>159</v>
      </c>
      <c r="B160" s="23">
        <v>183.33237401928315</v>
      </c>
      <c r="C160" s="18">
        <v>44791.578518518509</v>
      </c>
      <c r="D160" s="23">
        <v>3.0264330584903569</v>
      </c>
      <c r="E160" s="19">
        <v>32</v>
      </c>
      <c r="F160" s="17">
        <v>1</v>
      </c>
      <c r="G160" s="19">
        <v>-20.012096405029297</v>
      </c>
      <c r="H160" s="17">
        <v>0.32924383878707886</v>
      </c>
      <c r="I160" s="17">
        <f t="shared" si="4"/>
        <v>-3.2019354248046876</v>
      </c>
      <c r="J160" s="17">
        <f t="shared" si="5"/>
        <v>-1.0542175108110314</v>
      </c>
      <c r="K160" s="19">
        <v>0</v>
      </c>
      <c r="L160" s="17">
        <v>0.29051876811265898</v>
      </c>
      <c r="M160" s="19">
        <v>0</v>
      </c>
      <c r="N160" s="17">
        <v>0.15578894574507399</v>
      </c>
      <c r="O160" s="19">
        <v>-3.6916136741638184E-4</v>
      </c>
      <c r="P160" s="17">
        <v>0</v>
      </c>
      <c r="Q160" s="19">
        <v>0</v>
      </c>
      <c r="R160" s="17">
        <v>0</v>
      </c>
      <c r="S160" s="19">
        <v>0</v>
      </c>
    </row>
    <row r="161" spans="1:19" x14ac:dyDescent="0.25">
      <c r="A161" s="3">
        <v>160</v>
      </c>
      <c r="B161" s="23">
        <v>184.33635219629733</v>
      </c>
      <c r="C161" s="18">
        <v>44791.578530092593</v>
      </c>
      <c r="D161" s="23">
        <v>4.0304112355045092</v>
      </c>
      <c r="E161" s="19">
        <v>32</v>
      </c>
      <c r="F161" s="17">
        <v>1</v>
      </c>
      <c r="G161" s="19">
        <v>-20.008344650268555</v>
      </c>
      <c r="H161" s="17">
        <v>0.32893618941307068</v>
      </c>
      <c r="I161" s="17">
        <f t="shared" si="4"/>
        <v>-3.2013351440429689</v>
      </c>
      <c r="J161" s="17">
        <f t="shared" si="5"/>
        <v>-1.0530349833156378</v>
      </c>
      <c r="K161" s="19">
        <v>0</v>
      </c>
      <c r="L161" s="17">
        <v>0.29609880115732901</v>
      </c>
      <c r="M161" s="19">
        <v>0</v>
      </c>
      <c r="N161" s="17">
        <v>0.157625906501628</v>
      </c>
      <c r="O161" s="19">
        <v>-1.8458366685081273E-4</v>
      </c>
      <c r="P161" s="17">
        <v>0</v>
      </c>
      <c r="Q161" s="19">
        <v>0</v>
      </c>
      <c r="R161" s="17">
        <v>0</v>
      </c>
      <c r="S161" s="19">
        <v>0</v>
      </c>
    </row>
    <row r="162" spans="1:19" x14ac:dyDescent="0.25">
      <c r="A162" s="3">
        <v>161</v>
      </c>
      <c r="B162" s="23">
        <v>185.30802081514872</v>
      </c>
      <c r="C162" s="18">
        <v>44791.578541666669</v>
      </c>
      <c r="D162" s="23">
        <v>5.0020798543558973</v>
      </c>
      <c r="E162" s="19">
        <v>32</v>
      </c>
      <c r="F162" s="17">
        <v>1</v>
      </c>
      <c r="G162" s="19">
        <v>-20.006467819213867</v>
      </c>
      <c r="H162" s="17">
        <v>0.3286285400390625</v>
      </c>
      <c r="I162" s="17">
        <f t="shared" si="4"/>
        <v>-3.2010348510742186</v>
      </c>
      <c r="J162" s="17">
        <f t="shared" si="5"/>
        <v>-1.0519514097226783</v>
      </c>
      <c r="K162" s="19">
        <v>0</v>
      </c>
      <c r="L162" s="17">
        <v>0.30149926611856098</v>
      </c>
      <c r="M162" s="19">
        <v>0</v>
      </c>
      <c r="N162" s="17">
        <v>0.15940021074607999</v>
      </c>
      <c r="O162" s="19">
        <v>-1.8458366685081273E-4</v>
      </c>
      <c r="P162" s="17">
        <v>0</v>
      </c>
      <c r="Q162" s="19">
        <v>0</v>
      </c>
      <c r="R162" s="17">
        <v>0</v>
      </c>
      <c r="S162" s="19">
        <v>0</v>
      </c>
    </row>
    <row r="163" spans="1:19" x14ac:dyDescent="0.25">
      <c r="A163" s="3">
        <v>162</v>
      </c>
      <c r="B163" s="23">
        <v>186.32660389852171</v>
      </c>
      <c r="C163" s="18">
        <v>44791.578553240739</v>
      </c>
      <c r="D163" s="23">
        <v>1.0154449248328929</v>
      </c>
      <c r="E163" s="19">
        <v>33</v>
      </c>
      <c r="F163" s="17">
        <v>1</v>
      </c>
      <c r="G163" s="19">
        <v>-21.257801055908203</v>
      </c>
      <c r="H163" s="17">
        <v>0.3009411096572876</v>
      </c>
      <c r="I163" s="17">
        <f t="shared" si="4"/>
        <v>-3.4012481689453127</v>
      </c>
      <c r="J163" s="17">
        <f t="shared" si="5"/>
        <v>-1.02357539818222</v>
      </c>
      <c r="K163" s="19">
        <v>0</v>
      </c>
      <c r="L163" s="17">
        <v>0.30749541225773003</v>
      </c>
      <c r="M163" s="19">
        <v>0</v>
      </c>
      <c r="N163" s="17">
        <v>0.16120888230640801</v>
      </c>
      <c r="O163" s="19">
        <v>-4.3069719686172903E-4</v>
      </c>
      <c r="P163" s="17">
        <v>0</v>
      </c>
      <c r="Q163" s="19">
        <v>0</v>
      </c>
      <c r="R163" s="17">
        <v>0</v>
      </c>
      <c r="S163" s="19">
        <v>0</v>
      </c>
    </row>
    <row r="164" spans="1:19" x14ac:dyDescent="0.25">
      <c r="A164" s="3">
        <v>163</v>
      </c>
      <c r="B164" s="23">
        <v>187.32960734342723</v>
      </c>
      <c r="C164" s="18">
        <v>44791.578564814816</v>
      </c>
      <c r="D164" s="23">
        <v>2.018448358639652</v>
      </c>
      <c r="E164" s="19">
        <v>33</v>
      </c>
      <c r="F164" s="17">
        <v>1</v>
      </c>
      <c r="G164" s="19">
        <v>-21.257801055908203</v>
      </c>
      <c r="H164" s="17">
        <v>0.30001822113990784</v>
      </c>
      <c r="I164" s="17">
        <f t="shared" si="4"/>
        <v>-3.4012481689453127</v>
      </c>
      <c r="J164" s="17">
        <f t="shared" si="5"/>
        <v>-1.0204364253023415</v>
      </c>
      <c r="K164" s="19">
        <v>0</v>
      </c>
      <c r="L164" s="17">
        <v>0.31341805164516801</v>
      </c>
      <c r="M164" s="19">
        <v>0</v>
      </c>
      <c r="N164" s="17">
        <v>0.16298937688103199</v>
      </c>
      <c r="O164" s="19">
        <v>-6.152748828753829E-4</v>
      </c>
      <c r="P164" s="17">
        <v>0</v>
      </c>
      <c r="Q164" s="19">
        <v>0</v>
      </c>
      <c r="R164" s="17">
        <v>0</v>
      </c>
      <c r="S164" s="19">
        <v>0</v>
      </c>
    </row>
    <row r="165" spans="1:19" x14ac:dyDescent="0.25">
      <c r="A165" s="3">
        <v>164</v>
      </c>
      <c r="B165" s="23">
        <v>188.33453595669343</v>
      </c>
      <c r="C165" s="18">
        <v>44791.578576388885</v>
      </c>
      <c r="D165" s="23">
        <v>3.023376979424369</v>
      </c>
      <c r="E165" s="19">
        <v>33</v>
      </c>
      <c r="F165" s="17">
        <v>1</v>
      </c>
      <c r="G165" s="19">
        <v>-21.259677886962891</v>
      </c>
      <c r="H165" s="17">
        <v>0.29940292239189148</v>
      </c>
      <c r="I165" s="17">
        <f t="shared" si="4"/>
        <v>-3.4015484619140626</v>
      </c>
      <c r="J165" s="17">
        <f t="shared" si="5"/>
        <v>-1.0184335501547139</v>
      </c>
      <c r="K165" s="19">
        <v>0</v>
      </c>
      <c r="L165" s="17">
        <v>0.319352030738773</v>
      </c>
      <c r="M165" s="19">
        <v>0</v>
      </c>
      <c r="N165" s="17">
        <v>0.16476850707173599</v>
      </c>
      <c r="O165" s="19">
        <v>-2.4611354456283152E-4</v>
      </c>
      <c r="P165" s="17">
        <v>0</v>
      </c>
      <c r="Q165" s="19">
        <v>0</v>
      </c>
      <c r="R165" s="17">
        <v>0</v>
      </c>
      <c r="S165" s="19">
        <v>0</v>
      </c>
    </row>
    <row r="166" spans="1:19" x14ac:dyDescent="0.25">
      <c r="A166" s="3">
        <v>165</v>
      </c>
      <c r="B166" s="23">
        <v>189.34138682543829</v>
      </c>
      <c r="C166" s="18">
        <v>44791.578587962962</v>
      </c>
      <c r="D166" s="23">
        <v>4.0302278481692451</v>
      </c>
      <c r="E166" s="19">
        <v>33</v>
      </c>
      <c r="F166" s="17">
        <v>1</v>
      </c>
      <c r="G166" s="19">
        <v>-21.259677886962891</v>
      </c>
      <c r="H166" s="17">
        <v>0.29878765344619751</v>
      </c>
      <c r="I166" s="17">
        <f t="shared" si="4"/>
        <v>-3.4015484619140626</v>
      </c>
      <c r="J166" s="17">
        <f t="shared" si="5"/>
        <v>-1.0163406830188251</v>
      </c>
      <c r="K166" s="19">
        <v>0</v>
      </c>
      <c r="L166" s="17">
        <v>0.32529752977403598</v>
      </c>
      <c r="M166" s="19">
        <v>0</v>
      </c>
      <c r="N166" s="17">
        <v>0.16654686063553301</v>
      </c>
      <c r="O166" s="19">
        <v>-3.6916733370162547E-4</v>
      </c>
      <c r="P166" s="17">
        <v>0</v>
      </c>
      <c r="Q166" s="19">
        <v>0</v>
      </c>
      <c r="R166" s="17">
        <v>0</v>
      </c>
      <c r="S166" s="19">
        <v>0</v>
      </c>
    </row>
    <row r="167" spans="1:19" x14ac:dyDescent="0.25">
      <c r="A167" s="3">
        <v>166</v>
      </c>
      <c r="B167" s="23">
        <v>190.31308375896404</v>
      </c>
      <c r="C167" s="18">
        <v>44791.578599537039</v>
      </c>
      <c r="D167" s="23">
        <v>5.0019248794354683</v>
      </c>
      <c r="E167" s="19">
        <v>33</v>
      </c>
      <c r="F167" s="17">
        <v>1</v>
      </c>
      <c r="G167" s="19">
        <v>-21.255926132202148</v>
      </c>
      <c r="H167" s="17">
        <v>0.29817238450050354</v>
      </c>
      <c r="I167" s="17">
        <f t="shared" si="4"/>
        <v>-3.4009481811523439</v>
      </c>
      <c r="J167" s="17">
        <f t="shared" si="5"/>
        <v>-1.0140688287368449</v>
      </c>
      <c r="K167" s="19">
        <v>0</v>
      </c>
      <c r="L167" s="17">
        <v>0.33103546985421201</v>
      </c>
      <c r="M167" s="19">
        <v>0</v>
      </c>
      <c r="N167" s="17">
        <v>0.16825949569420501</v>
      </c>
      <c r="O167" s="19">
        <v>-3.0763744143769145E-4</v>
      </c>
      <c r="P167" s="17">
        <v>0</v>
      </c>
      <c r="Q167" s="19">
        <v>0</v>
      </c>
      <c r="R167" s="17">
        <v>0</v>
      </c>
      <c r="S167" s="19">
        <v>0</v>
      </c>
    </row>
    <row r="168" spans="1:19" x14ac:dyDescent="0.25">
      <c r="A168" s="3">
        <v>167</v>
      </c>
      <c r="B168" s="23">
        <v>191.32393235354141</v>
      </c>
      <c r="C168" s="18">
        <v>44791.578611111101</v>
      </c>
      <c r="D168" s="23">
        <v>1.0076238193268441</v>
      </c>
      <c r="E168" s="19">
        <v>34</v>
      </c>
      <c r="F168" s="17">
        <v>1</v>
      </c>
      <c r="G168" s="19">
        <v>-22.507259368896484</v>
      </c>
      <c r="H168" s="17">
        <v>0.27048495411872864</v>
      </c>
      <c r="I168" s="17">
        <f t="shared" si="4"/>
        <v>-3.6011614990234375</v>
      </c>
      <c r="J168" s="17">
        <f t="shared" si="5"/>
        <v>-0.9740600028374865</v>
      </c>
      <c r="K168" s="19">
        <v>0</v>
      </c>
      <c r="L168" s="17">
        <v>0.33735442917702002</v>
      </c>
      <c r="M168" s="19">
        <v>0</v>
      </c>
      <c r="N168" s="17">
        <v>0.16997434792961399</v>
      </c>
      <c r="O168" s="19">
        <v>-4.9222109373658895E-4</v>
      </c>
      <c r="P168" s="17">
        <v>0</v>
      </c>
      <c r="Q168" s="19">
        <v>0</v>
      </c>
      <c r="R168" s="17">
        <v>0</v>
      </c>
      <c r="S168" s="19">
        <v>0</v>
      </c>
    </row>
    <row r="169" spans="1:19" x14ac:dyDescent="0.25">
      <c r="A169" s="3">
        <v>168</v>
      </c>
      <c r="B169" s="23">
        <v>192.32785242400047</v>
      </c>
      <c r="C169" s="18">
        <v>44791.578622685185</v>
      </c>
      <c r="D169" s="23">
        <v>2.0115438897859379</v>
      </c>
      <c r="E169" s="19">
        <v>34</v>
      </c>
      <c r="F169" s="17">
        <v>1</v>
      </c>
      <c r="G169" s="19">
        <v>-22.511011123657227</v>
      </c>
      <c r="H169" s="17">
        <v>0.26925438642501831</v>
      </c>
      <c r="I169" s="17">
        <f t="shared" si="4"/>
        <v>-3.6017617797851562</v>
      </c>
      <c r="J169" s="17">
        <f t="shared" si="5"/>
        <v>-0.96979015806513413</v>
      </c>
      <c r="K169" s="19">
        <v>0</v>
      </c>
      <c r="L169" s="17">
        <v>0.34363119905956702</v>
      </c>
      <c r="M169" s="19">
        <v>0</v>
      </c>
      <c r="N169" s="17">
        <v>0.171669885351482</v>
      </c>
      <c r="O169" s="19">
        <v>-7.3833466740325093E-4</v>
      </c>
      <c r="P169" s="17">
        <v>0</v>
      </c>
      <c r="Q169" s="19">
        <v>0</v>
      </c>
      <c r="R169" s="17">
        <v>0</v>
      </c>
      <c r="S169" s="19">
        <v>0</v>
      </c>
    </row>
    <row r="170" spans="1:19" x14ac:dyDescent="0.25">
      <c r="A170" s="3">
        <v>169</v>
      </c>
      <c r="B170" s="23">
        <v>193.33181784963716</v>
      </c>
      <c r="C170" s="18">
        <v>44791.578634259262</v>
      </c>
      <c r="D170" s="23">
        <v>3.0155095112616399</v>
      </c>
      <c r="E170" s="19">
        <v>34</v>
      </c>
      <c r="F170" s="17">
        <v>1</v>
      </c>
      <c r="G170" s="19">
        <v>-22.507259368896484</v>
      </c>
      <c r="H170" s="17">
        <v>0.26894676685333252</v>
      </c>
      <c r="I170" s="17">
        <f t="shared" si="4"/>
        <v>-3.6011614990234375</v>
      </c>
      <c r="J170" s="17">
        <f t="shared" si="5"/>
        <v>-0.96852074207905392</v>
      </c>
      <c r="K170" s="19">
        <v>0</v>
      </c>
      <c r="L170" s="17">
        <v>0.349908271148271</v>
      </c>
      <c r="M170" s="19">
        <v>0</v>
      </c>
      <c r="N170" s="17">
        <v>0.173360300769067</v>
      </c>
      <c r="O170" s="19">
        <v>-3.0763744143769145E-4</v>
      </c>
      <c r="P170" s="17">
        <v>0</v>
      </c>
      <c r="Q170" s="19">
        <v>0</v>
      </c>
      <c r="R170" s="17">
        <v>0</v>
      </c>
      <c r="S170" s="19">
        <v>0</v>
      </c>
    </row>
    <row r="171" spans="1:19" x14ac:dyDescent="0.25">
      <c r="A171" s="3">
        <v>170</v>
      </c>
      <c r="B171" s="23">
        <v>194.33674426785913</v>
      </c>
      <c r="C171" s="18">
        <v>44791.578645833331</v>
      </c>
      <c r="D171" s="23">
        <v>4.0204360984708813</v>
      </c>
      <c r="E171" s="19">
        <v>34</v>
      </c>
      <c r="F171" s="17">
        <v>1</v>
      </c>
      <c r="G171" s="19">
        <v>-22.505382537841797</v>
      </c>
      <c r="H171" s="17">
        <v>0.26802384853363037</v>
      </c>
      <c r="I171" s="17">
        <f t="shared" si="4"/>
        <v>-3.6008612060546876</v>
      </c>
      <c r="J171" s="17">
        <f t="shared" si="5"/>
        <v>-0.96511667848222715</v>
      </c>
      <c r="K171" s="19">
        <v>0</v>
      </c>
      <c r="L171" s="17">
        <v>0.35619119868099097</v>
      </c>
      <c r="M171" s="19">
        <v>0</v>
      </c>
      <c r="N171" s="17">
        <v>0.175048029881298</v>
      </c>
      <c r="O171" s="19">
        <v>-3.0763744143769145E-4</v>
      </c>
      <c r="P171" s="17">
        <v>0</v>
      </c>
      <c r="Q171" s="19">
        <v>0</v>
      </c>
      <c r="R171" s="17">
        <v>0</v>
      </c>
      <c r="S171" s="19">
        <v>0</v>
      </c>
    </row>
    <row r="172" spans="1:19" x14ac:dyDescent="0.25">
      <c r="A172" s="3">
        <v>171</v>
      </c>
      <c r="B172" s="23">
        <v>195.32500854137501</v>
      </c>
      <c r="C172" s="18">
        <v>44791.578657407408</v>
      </c>
      <c r="D172" s="23">
        <v>5.0087000071604768</v>
      </c>
      <c r="E172" s="19">
        <v>34</v>
      </c>
      <c r="F172" s="17">
        <v>1</v>
      </c>
      <c r="G172" s="19">
        <v>-22.505382537841797</v>
      </c>
      <c r="H172" s="17">
        <v>0.26771619915962219</v>
      </c>
      <c r="I172" s="17">
        <f t="shared" si="4"/>
        <v>-3.6008612060546876</v>
      </c>
      <c r="J172" s="17">
        <f t="shared" si="5"/>
        <v>-0.96400887578629413</v>
      </c>
      <c r="K172" s="19">
        <v>0</v>
      </c>
      <c r="L172" s="17">
        <v>0.36236994686324198</v>
      </c>
      <c r="M172" s="19">
        <v>0</v>
      </c>
      <c r="N172" s="17">
        <v>0.176704126975024</v>
      </c>
      <c r="O172" s="19">
        <v>-2.4611354456283152E-4</v>
      </c>
      <c r="P172" s="17">
        <v>0</v>
      </c>
      <c r="Q172" s="19">
        <v>0</v>
      </c>
      <c r="R172" s="17">
        <v>0</v>
      </c>
      <c r="S172" s="19">
        <v>0</v>
      </c>
    </row>
    <row r="173" spans="1:19" x14ac:dyDescent="0.25">
      <c r="A173" s="3">
        <v>172</v>
      </c>
      <c r="B173" s="23">
        <v>196.32893963001817</v>
      </c>
      <c r="C173" s="18">
        <v>44791.578668981485</v>
      </c>
      <c r="D173" s="23">
        <v>1.001019684867406</v>
      </c>
      <c r="E173" s="19">
        <v>35</v>
      </c>
      <c r="F173" s="17">
        <v>1</v>
      </c>
      <c r="G173" s="19">
        <v>-23.760469436645508</v>
      </c>
      <c r="H173" s="17">
        <v>0.24002876877784729</v>
      </c>
      <c r="I173" s="17">
        <f t="shared" si="4"/>
        <v>-3.8016751098632811</v>
      </c>
      <c r="J173" s="17">
        <f t="shared" si="5"/>
        <v>-0.91251139591387065</v>
      </c>
      <c r="K173" s="19">
        <v>0</v>
      </c>
      <c r="L173" s="17">
        <v>0.36896485832954601</v>
      </c>
      <c r="M173" s="19">
        <v>0</v>
      </c>
      <c r="N173" s="17">
        <v>0.178296719581962</v>
      </c>
      <c r="O173" s="19">
        <v>-5.4759620688855648E-3</v>
      </c>
      <c r="P173" s="17">
        <v>0</v>
      </c>
      <c r="Q173" s="19">
        <v>0</v>
      </c>
      <c r="R173" s="17">
        <v>0</v>
      </c>
      <c r="S173" s="19">
        <v>0</v>
      </c>
    </row>
    <row r="174" spans="1:19" x14ac:dyDescent="0.25">
      <c r="A174" s="3">
        <v>173</v>
      </c>
      <c r="B174" s="23">
        <v>197.33189715943877</v>
      </c>
      <c r="C174" s="18">
        <v>44791.578680555554</v>
      </c>
      <c r="D174" s="23">
        <v>2.003977210349754</v>
      </c>
      <c r="E174" s="19">
        <v>35</v>
      </c>
      <c r="F174" s="17">
        <v>1</v>
      </c>
      <c r="G174" s="19">
        <v>-23.760469436645508</v>
      </c>
      <c r="H174" s="17">
        <v>0.23910585045814514</v>
      </c>
      <c r="I174" s="17">
        <f t="shared" si="4"/>
        <v>-3.8016751098632811</v>
      </c>
      <c r="J174" s="17">
        <f t="shared" si="5"/>
        <v>-0.90900276030942218</v>
      </c>
      <c r="K174" s="19">
        <v>0</v>
      </c>
      <c r="L174" s="17">
        <v>0.375584050820985</v>
      </c>
      <c r="M174" s="19">
        <v>0</v>
      </c>
      <c r="N174" s="17">
        <v>0.179881507765112</v>
      </c>
      <c r="O174" s="19">
        <v>-5.6605460122227669E-3</v>
      </c>
      <c r="P174" s="17">
        <v>0</v>
      </c>
      <c r="Q174" s="19">
        <v>0</v>
      </c>
      <c r="R174" s="17">
        <v>0</v>
      </c>
      <c r="S174" s="19">
        <v>0</v>
      </c>
    </row>
    <row r="175" spans="1:19" x14ac:dyDescent="0.25">
      <c r="A175" s="3">
        <v>174</v>
      </c>
      <c r="B175" s="23">
        <v>198.33492098700015</v>
      </c>
      <c r="C175" s="18">
        <v>44791.578692129631</v>
      </c>
      <c r="D175" s="23">
        <v>3.0070010529481479</v>
      </c>
      <c r="E175" s="19">
        <v>35</v>
      </c>
      <c r="F175" s="17">
        <v>1</v>
      </c>
      <c r="G175" s="19">
        <v>-23.756715774536133</v>
      </c>
      <c r="H175" s="17">
        <v>0.23849058151245117</v>
      </c>
      <c r="I175" s="17">
        <f t="shared" si="4"/>
        <v>-3.8010745239257813</v>
      </c>
      <c r="J175" s="17">
        <f t="shared" si="5"/>
        <v>-0.90652047358322307</v>
      </c>
      <c r="K175" s="19">
        <v>0</v>
      </c>
      <c r="L175" s="17">
        <v>0.38220350179227802</v>
      </c>
      <c r="M175" s="19">
        <v>0</v>
      </c>
      <c r="N175" s="17">
        <v>0.18146151602119201</v>
      </c>
      <c r="O175" s="19">
        <v>-3.0763744143769145E-4</v>
      </c>
      <c r="P175" s="17">
        <v>0</v>
      </c>
      <c r="Q175" s="19">
        <v>0</v>
      </c>
      <c r="R175" s="17">
        <v>0</v>
      </c>
      <c r="S175" s="19">
        <v>0</v>
      </c>
    </row>
    <row r="176" spans="1:19" x14ac:dyDescent="0.25">
      <c r="A176" s="3">
        <v>175</v>
      </c>
      <c r="B176" s="23">
        <v>199.34270512332137</v>
      </c>
      <c r="C176" s="18">
        <v>44791.578703703701</v>
      </c>
      <c r="D176" s="23">
        <v>4.0147851781705697</v>
      </c>
      <c r="E176" s="19">
        <v>35</v>
      </c>
      <c r="F176" s="17">
        <v>1</v>
      </c>
      <c r="G176" s="19">
        <v>-23.75859260559082</v>
      </c>
      <c r="H176" s="17">
        <v>0.23756766319274902</v>
      </c>
      <c r="I176" s="17">
        <f t="shared" si="4"/>
        <v>-3.8013748168945312</v>
      </c>
      <c r="J176" s="17">
        <f t="shared" si="5"/>
        <v>-0.90308373216939797</v>
      </c>
      <c r="K176" s="19">
        <v>0</v>
      </c>
      <c r="L176" s="17">
        <v>0.38885444750022102</v>
      </c>
      <c r="M176" s="19">
        <v>0</v>
      </c>
      <c r="N176" s="17">
        <v>0.18304373099563001</v>
      </c>
      <c r="O176" s="19">
        <v>-3.0763744143769145E-4</v>
      </c>
      <c r="P176" s="17">
        <v>0</v>
      </c>
      <c r="Q176" s="19">
        <v>0</v>
      </c>
      <c r="R176" s="17">
        <v>0</v>
      </c>
      <c r="S176" s="19">
        <v>0</v>
      </c>
    </row>
    <row r="177" spans="1:19" x14ac:dyDescent="0.25">
      <c r="A177" s="3">
        <v>176</v>
      </c>
      <c r="B177" s="23">
        <v>200.33297887050631</v>
      </c>
      <c r="C177" s="18">
        <v>44791.578715277778</v>
      </c>
      <c r="D177" s="23">
        <v>5.0050589289358456</v>
      </c>
      <c r="E177" s="19">
        <v>35</v>
      </c>
      <c r="F177" s="17">
        <v>1</v>
      </c>
      <c r="G177" s="19">
        <v>-23.756715774536133</v>
      </c>
      <c r="H177" s="17">
        <v>0.23695237934589386</v>
      </c>
      <c r="I177" s="17">
        <f t="shared" si="4"/>
        <v>-3.8010745239257813</v>
      </c>
      <c r="J177" s="17">
        <f t="shared" si="5"/>
        <v>-0.90067365251527465</v>
      </c>
      <c r="K177" s="19">
        <v>0</v>
      </c>
      <c r="L177" s="17">
        <v>0.39538978048495399</v>
      </c>
      <c r="M177" s="19">
        <v>0</v>
      </c>
      <c r="N177" s="17">
        <v>0.18459424535068999</v>
      </c>
      <c r="O177" s="19">
        <v>-3.0764043913222849E-4</v>
      </c>
      <c r="P177" s="17">
        <v>0</v>
      </c>
      <c r="Q177" s="19">
        <v>0</v>
      </c>
      <c r="R177" s="17">
        <v>0</v>
      </c>
      <c r="S177" s="19">
        <v>0</v>
      </c>
    </row>
    <row r="178" spans="1:19" x14ac:dyDescent="0.25">
      <c r="A178" s="3">
        <v>177</v>
      </c>
      <c r="B178" s="23">
        <v>201.33889656511911</v>
      </c>
      <c r="C178" s="18">
        <v>44791.578726851854</v>
      </c>
      <c r="D178" s="23">
        <v>1.0030473866048959</v>
      </c>
      <c r="E178" s="19">
        <v>36</v>
      </c>
      <c r="F178" s="17">
        <v>1</v>
      </c>
      <c r="G178" s="19">
        <v>-25.006174087524414</v>
      </c>
      <c r="H178" s="17">
        <v>0.20864968001842499</v>
      </c>
      <c r="I178" s="17">
        <f t="shared" si="4"/>
        <v>-4.0009878540039061</v>
      </c>
      <c r="J178" s="17">
        <f t="shared" si="5"/>
        <v>-0.83480483549551987</v>
      </c>
      <c r="K178" s="19">
        <v>0</v>
      </c>
      <c r="L178" s="17">
        <v>0.40236740967274998</v>
      </c>
      <c r="M178" s="19">
        <v>0</v>
      </c>
      <c r="N178" s="17">
        <v>0.18606140370475699</v>
      </c>
      <c r="O178" s="19">
        <v>-5.6605399586260319E-3</v>
      </c>
      <c r="P178" s="17">
        <v>0</v>
      </c>
      <c r="Q178" s="19">
        <v>0</v>
      </c>
      <c r="R178" s="17">
        <v>0</v>
      </c>
      <c r="S178" s="19">
        <v>0</v>
      </c>
    </row>
    <row r="179" spans="1:19" x14ac:dyDescent="0.25">
      <c r="A179" s="3">
        <v>178</v>
      </c>
      <c r="B179" s="23">
        <v>202.3428320259496</v>
      </c>
      <c r="C179" s="18">
        <v>44791.578738425917</v>
      </c>
      <c r="D179" s="23">
        <v>2.0069827686700492</v>
      </c>
      <c r="E179" s="19">
        <v>36</v>
      </c>
      <c r="F179" s="17">
        <v>1</v>
      </c>
      <c r="G179" s="19">
        <v>-25.008050918579102</v>
      </c>
      <c r="H179" s="17">
        <v>0.20803441107273102</v>
      </c>
      <c r="I179" s="17">
        <f t="shared" si="4"/>
        <v>-4.001288146972656</v>
      </c>
      <c r="J179" s="17">
        <f t="shared" si="5"/>
        <v>-0.83240562318775568</v>
      </c>
      <c r="K179" s="19">
        <v>0</v>
      </c>
      <c r="L179" s="17">
        <v>0.409341366169507</v>
      </c>
      <c r="M179" s="19">
        <v>0</v>
      </c>
      <c r="N179" s="17">
        <v>0.18751373407470201</v>
      </c>
      <c r="O179" s="19">
        <v>-5.7835937477648258E-3</v>
      </c>
      <c r="P179" s="17">
        <v>0</v>
      </c>
      <c r="Q179" s="19">
        <v>0</v>
      </c>
      <c r="R179" s="17">
        <v>0</v>
      </c>
      <c r="S179" s="19">
        <v>0</v>
      </c>
    </row>
    <row r="180" spans="1:19" x14ac:dyDescent="0.25">
      <c r="A180" s="3">
        <v>179</v>
      </c>
      <c r="B180" s="23">
        <v>203.34967528955175</v>
      </c>
      <c r="C180" s="18">
        <v>44791.578750000001</v>
      </c>
      <c r="D180" s="23">
        <v>3.0138260322722701</v>
      </c>
      <c r="E180" s="19">
        <v>36</v>
      </c>
      <c r="F180" s="17">
        <v>1</v>
      </c>
      <c r="G180" s="19">
        <v>-25.009925842285156</v>
      </c>
      <c r="H180" s="17">
        <v>0.20711149275302887</v>
      </c>
      <c r="I180" s="17">
        <f t="shared" si="4"/>
        <v>-4.0015881347656252</v>
      </c>
      <c r="J180" s="17">
        <f t="shared" si="5"/>
        <v>-0.82877489197411713</v>
      </c>
      <c r="K180" s="19">
        <v>0</v>
      </c>
      <c r="L180" s="17">
        <v>0.416335523777359</v>
      </c>
      <c r="M180" s="19">
        <v>0</v>
      </c>
      <c r="N180" s="17">
        <v>0.188964874725741</v>
      </c>
      <c r="O180" s="19">
        <v>-3.0763744143769145E-4</v>
      </c>
      <c r="P180" s="17">
        <v>0</v>
      </c>
      <c r="Q180" s="19">
        <v>0</v>
      </c>
      <c r="R180" s="17">
        <v>0</v>
      </c>
      <c r="S180" s="19">
        <v>0</v>
      </c>
    </row>
    <row r="181" spans="1:19" x14ac:dyDescent="0.25">
      <c r="A181" s="3">
        <v>180</v>
      </c>
      <c r="B181" s="23">
        <v>204.35850805768479</v>
      </c>
      <c r="C181" s="18">
        <v>44791.578761574077</v>
      </c>
      <c r="D181" s="23">
        <v>4.0226588000472594</v>
      </c>
      <c r="E181" s="19">
        <v>36</v>
      </c>
      <c r="F181" s="17">
        <v>1</v>
      </c>
      <c r="G181" s="19">
        <v>-25.006174087524414</v>
      </c>
      <c r="H181" s="17">
        <v>0.20618857443332672</v>
      </c>
      <c r="I181" s="17">
        <f t="shared" si="4"/>
        <v>-4.0009878540039061</v>
      </c>
      <c r="J181" s="17">
        <f t="shared" si="5"/>
        <v>-0.82495798194212056</v>
      </c>
      <c r="K181" s="19">
        <v>0</v>
      </c>
      <c r="L181" s="17">
        <v>0.42334357079050999</v>
      </c>
      <c r="M181" s="19">
        <v>0</v>
      </c>
      <c r="N181" s="17">
        <v>0.19041316804479799</v>
      </c>
      <c r="O181" s="19">
        <v>-3.0763744143769145E-4</v>
      </c>
      <c r="P181" s="17">
        <v>0</v>
      </c>
      <c r="Q181" s="19">
        <v>0</v>
      </c>
      <c r="R181" s="17">
        <v>0</v>
      </c>
      <c r="S181" s="19">
        <v>0</v>
      </c>
    </row>
    <row r="182" spans="1:19" x14ac:dyDescent="0.25">
      <c r="A182" s="3">
        <v>181</v>
      </c>
      <c r="B182" s="23">
        <v>205.34880937127431</v>
      </c>
      <c r="C182" s="18">
        <v>44791.578773148147</v>
      </c>
      <c r="D182" s="23">
        <v>5.0129601100565324</v>
      </c>
      <c r="E182" s="19">
        <v>36</v>
      </c>
      <c r="F182" s="17">
        <v>1</v>
      </c>
      <c r="G182" s="19">
        <v>-25.008050918579102</v>
      </c>
      <c r="H182" s="17">
        <v>0.20557330548763275</v>
      </c>
      <c r="I182" s="17">
        <f t="shared" si="4"/>
        <v>-4.001288146972656</v>
      </c>
      <c r="J182" s="17">
        <f t="shared" si="5"/>
        <v>-0.82255803058165378</v>
      </c>
      <c r="K182" s="19">
        <v>0</v>
      </c>
      <c r="L182" s="17">
        <v>0.430222880739143</v>
      </c>
      <c r="M182" s="19">
        <v>0</v>
      </c>
      <c r="N182" s="17">
        <v>0.19182995224712299</v>
      </c>
      <c r="O182" s="19">
        <v>-3.0763744143769145E-4</v>
      </c>
      <c r="P182" s="17">
        <v>0</v>
      </c>
      <c r="Q182" s="19">
        <v>0</v>
      </c>
      <c r="R182" s="17">
        <v>0</v>
      </c>
      <c r="S182" s="19">
        <v>0</v>
      </c>
    </row>
    <row r="183" spans="1:19" x14ac:dyDescent="0.25">
      <c r="A183" s="3">
        <v>182</v>
      </c>
      <c r="B183" s="23">
        <v>206.35569788479509</v>
      </c>
      <c r="C183" s="18">
        <v>44791.578784722224</v>
      </c>
      <c r="D183" s="23">
        <v>1.0040102323216771</v>
      </c>
      <c r="E183" s="19">
        <v>37</v>
      </c>
      <c r="F183" s="17">
        <v>1</v>
      </c>
      <c r="G183" s="19">
        <v>-26.261259078979492</v>
      </c>
      <c r="H183" s="17">
        <v>0.1769629567861557</v>
      </c>
      <c r="I183" s="17">
        <f t="shared" si="4"/>
        <v>-4.2018014526367189</v>
      </c>
      <c r="J183" s="17">
        <f t="shared" si="5"/>
        <v>-0.74356320888695793</v>
      </c>
      <c r="K183" s="19">
        <v>0</v>
      </c>
      <c r="L183" s="17">
        <v>0.43754586872650603</v>
      </c>
      <c r="M183" s="19">
        <v>0</v>
      </c>
      <c r="N183" s="17">
        <v>0.19313418877982</v>
      </c>
      <c r="O183" s="19">
        <v>-6.7680480424314737E-4</v>
      </c>
      <c r="P183" s="17">
        <v>0</v>
      </c>
      <c r="Q183" s="19">
        <v>0</v>
      </c>
      <c r="R183" s="17">
        <v>0</v>
      </c>
      <c r="S183" s="19">
        <v>0</v>
      </c>
    </row>
  </sheetData>
  <phoneticPr fontId="1" type="noConversion"/>
  <printOptions headings="1"/>
  <pageMargins left="0.7" right="0.7" top="0.75" bottom="0.75" header="0.3" footer="0.3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Info</vt:lpstr>
      <vt:lpstr>Channel_1-001</vt:lpstr>
      <vt:lpstr>Channel_Chart</vt:lpstr>
      <vt:lpstr>'Channel_1-001'!Print_Titles</vt:lpstr>
      <vt:lpstr>Info!Print_Titles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chenc</cp:lastModifiedBy>
  <dcterms:created xsi:type="dcterms:W3CDTF">2022-08-18T07:56:55Z</dcterms:created>
  <dcterms:modified xsi:type="dcterms:W3CDTF">2022-08-23T06:16:35Z</dcterms:modified>
</cp:coreProperties>
</file>