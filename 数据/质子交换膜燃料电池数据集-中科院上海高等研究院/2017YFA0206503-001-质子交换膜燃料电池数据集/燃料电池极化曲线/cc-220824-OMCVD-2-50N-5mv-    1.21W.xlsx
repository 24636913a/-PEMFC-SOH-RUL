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enChi\数据处理\PEMFC\OM-FeNC-CVD\"/>
    </mc:Choice>
  </mc:AlternateContent>
  <xr:revisionPtr revIDLastSave="0" documentId="13_ncr:1_{2BEF3E31-CB8B-433F-B14D-7B52CDC1F52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fo" sheetId="4" r:id="rId1"/>
    <sheet name="Channel_Chart" sheetId="6" r:id="rId2"/>
    <sheet name="Channel_1-001" sheetId="5" r:id="rId3"/>
  </sheets>
  <definedNames>
    <definedName name="_xlnm.Print_Titles" localSheetId="2">'Channel_1-001'!$1:$1</definedName>
    <definedName name="_xlnm.Print_Titles" localSheetId="0">Info!$1:$1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7" i="5" l="1"/>
  <c r="J66" i="5"/>
  <c r="J19" i="5"/>
  <c r="I117" i="5"/>
  <c r="J117" i="5" s="1"/>
  <c r="I116" i="5"/>
  <c r="J116" i="5" s="1"/>
  <c r="I115" i="5"/>
  <c r="J115" i="5" s="1"/>
  <c r="I114" i="5"/>
  <c r="I113" i="5"/>
  <c r="I112" i="5"/>
  <c r="J112" i="5" s="1"/>
  <c r="I111" i="5"/>
  <c r="I110" i="5"/>
  <c r="I109" i="5"/>
  <c r="J109" i="5" s="1"/>
  <c r="I108" i="5"/>
  <c r="J108" i="5" s="1"/>
  <c r="I107" i="5"/>
  <c r="I106" i="5"/>
  <c r="J106" i="5" s="1"/>
  <c r="I105" i="5"/>
  <c r="I104" i="5"/>
  <c r="J104" i="5" s="1"/>
  <c r="I103" i="5"/>
  <c r="I102" i="5"/>
  <c r="I101" i="5"/>
  <c r="J101" i="5" s="1"/>
  <c r="I100" i="5"/>
  <c r="J100" i="5" s="1"/>
  <c r="I99" i="5"/>
  <c r="J99" i="5" s="1"/>
  <c r="I98" i="5"/>
  <c r="J98" i="5" s="1"/>
  <c r="I97" i="5"/>
  <c r="I96" i="5"/>
  <c r="J96" i="5" s="1"/>
  <c r="I95" i="5"/>
  <c r="I94" i="5"/>
  <c r="I93" i="5"/>
  <c r="J93" i="5" s="1"/>
  <c r="I92" i="5"/>
  <c r="J92" i="5" s="1"/>
  <c r="I91" i="5"/>
  <c r="J91" i="5" s="1"/>
  <c r="I90" i="5"/>
  <c r="J90" i="5" s="1"/>
  <c r="I89" i="5"/>
  <c r="I88" i="5"/>
  <c r="J88" i="5" s="1"/>
  <c r="I87" i="5"/>
  <c r="I86" i="5"/>
  <c r="I85" i="5"/>
  <c r="J85" i="5" s="1"/>
  <c r="I84" i="5"/>
  <c r="J84" i="5" s="1"/>
  <c r="I83" i="5"/>
  <c r="J83" i="5" s="1"/>
  <c r="I82" i="5"/>
  <c r="J82" i="5" s="1"/>
  <c r="I81" i="5"/>
  <c r="I80" i="5"/>
  <c r="J80" i="5" s="1"/>
  <c r="I79" i="5"/>
  <c r="I78" i="5"/>
  <c r="I77" i="5"/>
  <c r="J77" i="5" s="1"/>
  <c r="I76" i="5"/>
  <c r="J76" i="5" s="1"/>
  <c r="I75" i="5"/>
  <c r="J75" i="5" s="1"/>
  <c r="I74" i="5"/>
  <c r="J74" i="5" s="1"/>
  <c r="I73" i="5"/>
  <c r="I72" i="5"/>
  <c r="J72" i="5" s="1"/>
  <c r="I71" i="5"/>
  <c r="I70" i="5"/>
  <c r="I69" i="5"/>
  <c r="J69" i="5" s="1"/>
  <c r="I68" i="5"/>
  <c r="J68" i="5" s="1"/>
  <c r="I67" i="5"/>
  <c r="J67" i="5" s="1"/>
  <c r="I66" i="5"/>
  <c r="I65" i="5"/>
  <c r="I64" i="5"/>
  <c r="J64" i="5" s="1"/>
  <c r="I63" i="5"/>
  <c r="I62" i="5"/>
  <c r="I61" i="5"/>
  <c r="J61" i="5" s="1"/>
  <c r="I60" i="5"/>
  <c r="J60" i="5" s="1"/>
  <c r="I59" i="5"/>
  <c r="J59" i="5" s="1"/>
  <c r="I58" i="5"/>
  <c r="J58" i="5" s="1"/>
  <c r="I57" i="5"/>
  <c r="I56" i="5"/>
  <c r="J56" i="5" s="1"/>
  <c r="I55" i="5"/>
  <c r="I54" i="5"/>
  <c r="I53" i="5"/>
  <c r="J53" i="5" s="1"/>
  <c r="I52" i="5"/>
  <c r="J52" i="5" s="1"/>
  <c r="I51" i="5"/>
  <c r="J51" i="5" s="1"/>
  <c r="I50" i="5"/>
  <c r="J50" i="5" s="1"/>
  <c r="I49" i="5"/>
  <c r="I48" i="5"/>
  <c r="J48" i="5" s="1"/>
  <c r="I47" i="5"/>
  <c r="I46" i="5"/>
  <c r="I45" i="5"/>
  <c r="J45" i="5" s="1"/>
  <c r="I44" i="5"/>
  <c r="J44" i="5" s="1"/>
  <c r="I43" i="5"/>
  <c r="J43" i="5" s="1"/>
  <c r="I42" i="5"/>
  <c r="J42" i="5" s="1"/>
  <c r="I41" i="5"/>
  <c r="I40" i="5"/>
  <c r="J40" i="5" s="1"/>
  <c r="I39" i="5"/>
  <c r="I38" i="5"/>
  <c r="I37" i="5"/>
  <c r="J37" i="5" s="1"/>
  <c r="I36" i="5"/>
  <c r="J36" i="5" s="1"/>
  <c r="I35" i="5"/>
  <c r="J35" i="5" s="1"/>
  <c r="I34" i="5"/>
  <c r="J34" i="5" s="1"/>
  <c r="I33" i="5"/>
  <c r="I32" i="5"/>
  <c r="J32" i="5" s="1"/>
  <c r="I31" i="5"/>
  <c r="I30" i="5"/>
  <c r="I29" i="5"/>
  <c r="J29" i="5" s="1"/>
  <c r="I28" i="5"/>
  <c r="J28" i="5" s="1"/>
  <c r="I27" i="5"/>
  <c r="J27" i="5" s="1"/>
  <c r="I26" i="5"/>
  <c r="J26" i="5" s="1"/>
  <c r="I25" i="5"/>
  <c r="I24" i="5"/>
  <c r="J24" i="5" s="1"/>
  <c r="I23" i="5"/>
  <c r="I22" i="5"/>
  <c r="I21" i="5"/>
  <c r="J21" i="5" s="1"/>
  <c r="I20" i="5"/>
  <c r="J20" i="5" s="1"/>
  <c r="I19" i="5"/>
  <c r="I18" i="5"/>
  <c r="J18" i="5" s="1"/>
  <c r="I17" i="5"/>
  <c r="I16" i="5"/>
  <c r="J16" i="5" s="1"/>
  <c r="I15" i="5"/>
  <c r="I14" i="5"/>
  <c r="I13" i="5"/>
  <c r="J13" i="5" s="1"/>
  <c r="I12" i="5"/>
  <c r="J12" i="5" s="1"/>
  <c r="I11" i="5"/>
  <c r="J11" i="5" s="1"/>
  <c r="I10" i="5"/>
  <c r="J10" i="5" s="1"/>
  <c r="I9" i="5"/>
  <c r="I8" i="5"/>
  <c r="J8" i="5" s="1"/>
  <c r="J9" i="5" l="1"/>
  <c r="J17" i="5"/>
  <c r="J25" i="5"/>
  <c r="J33" i="5"/>
  <c r="J41" i="5"/>
  <c r="J49" i="5"/>
  <c r="J57" i="5"/>
  <c r="J65" i="5"/>
  <c r="J73" i="5"/>
  <c r="J81" i="5"/>
  <c r="J89" i="5"/>
  <c r="J97" i="5"/>
  <c r="J105" i="5"/>
  <c r="J113" i="5"/>
  <c r="J114" i="5"/>
  <c r="J14" i="5"/>
  <c r="J30" i="5"/>
  <c r="J38" i="5"/>
  <c r="J54" i="5"/>
  <c r="J62" i="5"/>
  <c r="J70" i="5"/>
  <c r="J78" i="5"/>
  <c r="J86" i="5"/>
  <c r="J94" i="5"/>
  <c r="J102" i="5"/>
  <c r="J22" i="5"/>
  <c r="J46" i="5"/>
  <c r="J15" i="5"/>
  <c r="J23" i="5"/>
  <c r="J31" i="5"/>
  <c r="J39" i="5"/>
  <c r="J47" i="5"/>
  <c r="J55" i="5"/>
  <c r="J63" i="5"/>
  <c r="J71" i="5"/>
  <c r="J79" i="5"/>
  <c r="J87" i="5"/>
  <c r="J95" i="5"/>
  <c r="J103" i="5"/>
  <c r="J111" i="5"/>
  <c r="J1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Q3" authorId="0" shapeId="0" xr:uid="{00000000-0006-0000-0000-000001000000}">
      <text>
        <r>
          <rPr>
            <sz val="9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9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sharedStrings.xml><?xml version="1.0" encoding="utf-8"?>
<sst xmlns="http://schemas.openxmlformats.org/spreadsheetml/2006/main" count="49" uniqueCount="46">
  <si>
    <t>TEST REPORT</t>
  </si>
  <si>
    <t>C:\ArbinSoftware\MITS_PRO\Data\cc-220824-OMCVD-2-50N-5mv-.res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</si>
  <si>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</si>
  <si>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</si>
  <si>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</si>
  <si>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</si>
  <si>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</si>
  <si>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</si>
  <si>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</si>
  <si>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</si>
  <si>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</si>
  <si>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</si>
  <si>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</si>
  <si>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</si>
  <si>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</si>
  <si>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</si>
  <si>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</si>
  <si>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</si>
  <si>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</si>
  <si>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</si>
  <si>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</si>
  <si>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</si>
  <si>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</si>
  <si>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</si>
  <si>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</si>
  <si>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</si>
  <si>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</si>
  <si>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</si>
  <si>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cc-220824-OMCVD-2-50N-5mv-</t>
  </si>
  <si>
    <t>1-001</t>
  </si>
  <si>
    <t>chenchi-2.5-2.5-H2-O2-FAST.sdu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</si>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</sst>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\ hh:mm:ss"/>
    <numFmt numFmtId="177" formatCode="0.000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4"/>
      <color theme="1"/>
      <name val="Times New Roman"/>
      <family val="1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left" vertical="center"/>
    </xf>
    <xf numFmtId="0" fontId="0" fillId="8" borderId="1" xfId="0" applyFill="1" applyBorder="1">
      <alignment vertical="center"/>
    </xf>
    <xf numFmtId="176" fontId="0" fillId="9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 applyAlignment="1">
      <alignment horizontal="center" vertical="center" wrapText="1"/>
    </xf>
    <xf numFmtId="176" fontId="0" fillId="10" borderId="1" xfId="0" applyNumberFormat="1" applyFill="1" applyBorder="1" applyAlignment="1">
      <alignment horizontal="center" vertical="center" wrapText="1"/>
    </xf>
    <xf numFmtId="177" fontId="0" fillId="10" borderId="1" xfId="0" applyNumberFormat="1" applyFill="1" applyBorder="1" applyAlignment="1">
      <alignment horizontal="center" vertical="center" wrapText="1"/>
    </xf>
    <xf numFmtId="177" fontId="0" fillId="8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b="1"/>
            </a:pPr>
            <a:r>
              <a:rPr lang="en-US"/>
              <a:t>Current(A), Voltage(V) vs. Test_Time(s)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135045567522811E-3"/>
          <c:y val="1.4945652173913042E-2"/>
          <c:w val="0.97680198840099419"/>
          <c:h val="0.97010869565217406"/>
        </c:manualLayout>
      </c:layout>
      <c:scatterChart>
        <c:scatterStyle val="lineMarker"/>
        <c:varyColors val="0"/>
        <c:ser>
          <c:idx val="0"/>
          <c:order val="0"/>
          <c:smooth val="0"/>
          <c:extLst>
            <c:ext xmlns:c16="http://schemas.microsoft.com/office/drawing/2014/chart" uri="{C3380CC4-5D6E-409C-BE32-E72D297353CC}">
              <c16:uniqueId val="{00000000-2292-4F0D-B454-BCA98F4DED84}"/>
            </c:ext>
          </c:extLst>
        </c:ser>
        <c:ser>
          <c:idx val="1"/>
          <c:order val="1"/>
          <c:tx>
            <c:v>1-001 Current(A) </c:v>
          </c:tx>
          <c:marker>
            <c:symbol val="none"/>
          </c:marker>
          <c:xVal>
            <c:numRef>
              <c:f>'Channel_1-001'!$B$2:$B$117</c:f>
              <c:numCache>
                <c:formatCode>0.000</c:formatCode>
                <c:ptCount val="116"/>
                <c:pt idx="0">
                  <c:v>5.0093103515436193</c:v>
                </c:pt>
                <c:pt idx="1">
                  <c:v>10.009526094926445</c:v>
                </c:pt>
                <c:pt idx="2">
                  <c:v>15.020456051856174</c:v>
                </c:pt>
                <c:pt idx="3">
                  <c:v>20.033273915814274</c:v>
                </c:pt>
                <c:pt idx="4">
                  <c:v>25.03537185216479</c:v>
                </c:pt>
                <c:pt idx="5">
                  <c:v>30.003372292892152</c:v>
                </c:pt>
                <c:pt idx="6">
                  <c:v>31.021960594104776</c:v>
                </c:pt>
                <c:pt idx="7">
                  <c:v>32.024959760983279</c:v>
                </c:pt>
                <c:pt idx="8">
                  <c:v>33.011273449667222</c:v>
                </c:pt>
                <c:pt idx="9">
                  <c:v>34.018158384381564</c:v>
                </c:pt>
                <c:pt idx="10">
                  <c:v>35.02295409704594</c:v>
                </c:pt>
                <c:pt idx="11">
                  <c:v>36.02798739827648</c:v>
                </c:pt>
                <c:pt idx="12">
                  <c:v>37.036818786585563</c:v>
                </c:pt>
                <c:pt idx="13">
                  <c:v>38.039782033647086</c:v>
                </c:pt>
                <c:pt idx="14">
                  <c:v>39.045683499754759</c:v>
                </c:pt>
                <c:pt idx="15">
                  <c:v>40.055437209060869</c:v>
                </c:pt>
                <c:pt idx="16">
                  <c:v>41.058442153728286</c:v>
                </c:pt>
                <c:pt idx="17">
                  <c:v>42.063332298763747</c:v>
                </c:pt>
                <c:pt idx="18">
                  <c:v>43.068253160813576</c:v>
                </c:pt>
                <c:pt idx="19">
                  <c:v>44.072208357708789</c:v>
                </c:pt>
                <c:pt idx="20">
                  <c:v>45.074195263702464</c:v>
                </c:pt>
                <c:pt idx="21">
                  <c:v>46.083029125598344</c:v>
                </c:pt>
                <c:pt idx="22">
                  <c:v>47.086947462863975</c:v>
                </c:pt>
                <c:pt idx="23">
                  <c:v>48.082140621386202</c:v>
                </c:pt>
                <c:pt idx="24">
                  <c:v>49.086105641381828</c:v>
                </c:pt>
                <c:pt idx="25">
                  <c:v>50.092992418128894</c:v>
                </c:pt>
                <c:pt idx="26">
                  <c:v>51.101649294513997</c:v>
                </c:pt>
                <c:pt idx="27">
                  <c:v>52.108618756153533</c:v>
                </c:pt>
                <c:pt idx="28">
                  <c:v>53.116466626806677</c:v>
                </c:pt>
                <c:pt idx="29">
                  <c:v>54.105852495247234</c:v>
                </c:pt>
                <c:pt idx="30">
                  <c:v>55.115581859647484</c:v>
                </c:pt>
                <c:pt idx="31">
                  <c:v>56.119505599135017</c:v>
                </c:pt>
                <c:pt idx="32">
                  <c:v>57.122431937875696</c:v>
                </c:pt>
                <c:pt idx="33">
                  <c:v>58.128391804118003</c:v>
                </c:pt>
                <c:pt idx="34">
                  <c:v>59.134241478853319</c:v>
                </c:pt>
                <c:pt idx="35">
                  <c:v>60.140131874147457</c:v>
                </c:pt>
                <c:pt idx="36">
                  <c:v>61.147024304807189</c:v>
                </c:pt>
                <c:pt idx="37">
                  <c:v>62.150963818109567</c:v>
                </c:pt>
                <c:pt idx="38">
                  <c:v>63.153950944287907</c:v>
                </c:pt>
                <c:pt idx="39">
                  <c:v>64.15783603474263</c:v>
                </c:pt>
                <c:pt idx="40">
                  <c:v>65.163783021792909</c:v>
                </c:pt>
                <c:pt idx="41">
                  <c:v>66.168589887974335</c:v>
                </c:pt>
                <c:pt idx="42">
                  <c:v>67.178397271858245</c:v>
                </c:pt>
                <c:pt idx="43">
                  <c:v>68.182321736702093</c:v>
                </c:pt>
                <c:pt idx="44">
                  <c:v>69.187317272502696</c:v>
                </c:pt>
                <c:pt idx="45">
                  <c:v>70.191287103980869</c:v>
                </c:pt>
                <c:pt idx="46">
                  <c:v>71.19620640970102</c:v>
                </c:pt>
                <c:pt idx="47">
                  <c:v>72.204991890043715</c:v>
                </c:pt>
                <c:pt idx="48">
                  <c:v>73.209898917693891</c:v>
                </c:pt>
                <c:pt idx="49">
                  <c:v>74.214935406768802</c:v>
                </c:pt>
                <c:pt idx="50">
                  <c:v>75.219770884784353</c:v>
                </c:pt>
                <c:pt idx="51">
                  <c:v>76.224689524938142</c:v>
                </c:pt>
                <c:pt idx="52">
                  <c:v>77.232539711289562</c:v>
                </c:pt>
                <c:pt idx="53">
                  <c:v>78.225631689407152</c:v>
                </c:pt>
                <c:pt idx="54">
                  <c:v>79.229605148741001</c:v>
                </c:pt>
                <c:pt idx="55">
                  <c:v>80.234611285269821</c:v>
                </c:pt>
                <c:pt idx="56">
                  <c:v>81.240380918402778</c:v>
                </c:pt>
                <c:pt idx="57">
                  <c:v>82.244410548456742</c:v>
                </c:pt>
                <c:pt idx="58">
                  <c:v>83.254244194106207</c:v>
                </c:pt>
                <c:pt idx="59">
                  <c:v>84.245443675329653</c:v>
                </c:pt>
                <c:pt idx="60">
                  <c:v>85.255309087003383</c:v>
                </c:pt>
                <c:pt idx="61">
                  <c:v>86.259268697258605</c:v>
                </c:pt>
                <c:pt idx="62">
                  <c:v>87.249480920192909</c:v>
                </c:pt>
                <c:pt idx="63">
                  <c:v>88.256330307793107</c:v>
                </c:pt>
                <c:pt idx="64">
                  <c:v>89.260269700799469</c:v>
                </c:pt>
                <c:pt idx="65">
                  <c:v>90.267217106737647</c:v>
                </c:pt>
                <c:pt idx="66">
                  <c:v>91.272144731500006</c:v>
                </c:pt>
                <c:pt idx="67">
                  <c:v>92.272996370354193</c:v>
                </c:pt>
                <c:pt idx="68">
                  <c:v>93.277950497832165</c:v>
                </c:pt>
                <c:pt idx="69">
                  <c:v>94.285953350924217</c:v>
                </c:pt>
                <c:pt idx="70">
                  <c:v>95.290790114603439</c:v>
                </c:pt>
                <c:pt idx="71">
                  <c:v>96.295702048254455</c:v>
                </c:pt>
                <c:pt idx="72">
                  <c:v>97.304497934202374</c:v>
                </c:pt>
                <c:pt idx="73">
                  <c:v>98.307483564199046</c:v>
                </c:pt>
                <c:pt idx="74">
                  <c:v>99.312455570672114</c:v>
                </c:pt>
                <c:pt idx="75">
                  <c:v>100.32220843396787</c:v>
                </c:pt>
                <c:pt idx="76">
                  <c:v>101.32608778028792</c:v>
                </c:pt>
                <c:pt idx="77">
                  <c:v>102.3212893634694</c:v>
                </c:pt>
                <c:pt idx="78">
                  <c:v>103.32712329840211</c:v>
                </c:pt>
                <c:pt idx="79">
                  <c:v>104.33115870624501</c:v>
                </c:pt>
                <c:pt idx="80">
                  <c:v>105.32529996276553</c:v>
                </c:pt>
                <c:pt idx="81">
                  <c:v>106.33215282749336</c:v>
                </c:pt>
                <c:pt idx="82">
                  <c:v>107.33711071780202</c:v>
                </c:pt>
                <c:pt idx="83">
                  <c:v>108.34198901761836</c:v>
                </c:pt>
                <c:pt idx="84">
                  <c:v>109.34888397449438</c:v>
                </c:pt>
                <c:pt idx="85">
                  <c:v>110.35281543190209</c:v>
                </c:pt>
                <c:pt idx="86">
                  <c:v>111.35867682440004</c:v>
                </c:pt>
                <c:pt idx="87">
                  <c:v>112.36558463039408</c:v>
                </c:pt>
                <c:pt idx="88">
                  <c:v>113.36952606843268</c:v>
                </c:pt>
                <c:pt idx="89">
                  <c:v>114.3744921166728</c:v>
                </c:pt>
                <c:pt idx="90">
                  <c:v>115.38131197124352</c:v>
                </c:pt>
                <c:pt idx="91">
                  <c:v>116.3842547644024</c:v>
                </c:pt>
                <c:pt idx="92">
                  <c:v>117.39309708855004</c:v>
                </c:pt>
                <c:pt idx="93">
                  <c:v>118.40088061587264</c:v>
                </c:pt>
                <c:pt idx="94">
                  <c:v>119.40389624826808</c:v>
                </c:pt>
                <c:pt idx="95">
                  <c:v>120.41083872600794</c:v>
                </c:pt>
                <c:pt idx="96">
                  <c:v>121.4157415432976</c:v>
                </c:pt>
                <c:pt idx="97">
                  <c:v>122.4215910264902</c:v>
                </c:pt>
                <c:pt idx="98">
                  <c:v>123.42456070580822</c:v>
                </c:pt>
                <c:pt idx="99">
                  <c:v>124.42849591852809</c:v>
                </c:pt>
                <c:pt idx="100">
                  <c:v>125.4324063015778</c:v>
                </c:pt>
                <c:pt idx="101">
                  <c:v>126.44041835373471</c:v>
                </c:pt>
                <c:pt idx="102">
                  <c:v>127.4442566078672</c:v>
                </c:pt>
                <c:pt idx="103">
                  <c:v>128.44818974548085</c:v>
                </c:pt>
                <c:pt idx="104">
                  <c:v>129.45700767567334</c:v>
                </c:pt>
                <c:pt idx="105">
                  <c:v>130.46291452860791</c:v>
                </c:pt>
                <c:pt idx="106">
                  <c:v>131.46781958676883</c:v>
                </c:pt>
                <c:pt idx="107">
                  <c:v>132.47173098087794</c:v>
                </c:pt>
                <c:pt idx="108">
                  <c:v>133.47956993816928</c:v>
                </c:pt>
                <c:pt idx="109">
                  <c:v>134.48157748244788</c:v>
                </c:pt>
                <c:pt idx="110">
                  <c:v>135.48656411634343</c:v>
                </c:pt>
                <c:pt idx="111">
                  <c:v>136.49147664001777</c:v>
                </c:pt>
                <c:pt idx="112">
                  <c:v>137.49637019845261</c:v>
                </c:pt>
                <c:pt idx="113">
                  <c:v>138.50512862364889</c:v>
                </c:pt>
                <c:pt idx="114">
                  <c:v>139.50909047047912</c:v>
                </c:pt>
                <c:pt idx="115">
                  <c:v>140.51111232246492</c:v>
                </c:pt>
              </c:numCache>
            </c:numRef>
          </c:xVal>
          <c:yVal>
            <c:numRef>
              <c:f>'Channel_1-001'!$G$2:$G$117</c:f>
              <c:numCache>
                <c:formatCode>General</c:formatCode>
                <c:ptCount val="1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-0.27514734864234924</c:v>
                </c:pt>
                <c:pt idx="7">
                  <c:v>-0.27514734864234924</c:v>
                </c:pt>
                <c:pt idx="8">
                  <c:v>-0.27518153190612793</c:v>
                </c:pt>
                <c:pt idx="9">
                  <c:v>-0.62515902519226074</c:v>
                </c:pt>
                <c:pt idx="10">
                  <c:v>-0.62515902519226074</c:v>
                </c:pt>
                <c:pt idx="11">
                  <c:v>-0.62515902519226074</c:v>
                </c:pt>
                <c:pt idx="12">
                  <c:v>-0.93768167495727539</c:v>
                </c:pt>
                <c:pt idx="13">
                  <c:v>-0.93771582841873169</c:v>
                </c:pt>
                <c:pt idx="14">
                  <c:v>-0.93771582841873169</c:v>
                </c:pt>
                <c:pt idx="15">
                  <c:v>-1.2513201236724854</c:v>
                </c:pt>
                <c:pt idx="16">
                  <c:v>-1.2509503364562988</c:v>
                </c:pt>
                <c:pt idx="17">
                  <c:v>-1.2513201236724854</c:v>
                </c:pt>
                <c:pt idx="18">
                  <c:v>-1.5631206035614014</c:v>
                </c:pt>
                <c:pt idx="19">
                  <c:v>-1.5634903907775879</c:v>
                </c:pt>
                <c:pt idx="20">
                  <c:v>-1.5634903907775879</c:v>
                </c:pt>
                <c:pt idx="21">
                  <c:v>-1.8760305643081665</c:v>
                </c:pt>
                <c:pt idx="22">
                  <c:v>-1.8760305643081665</c:v>
                </c:pt>
                <c:pt idx="23">
                  <c:v>-1.8760305643081665</c:v>
                </c:pt>
                <c:pt idx="24">
                  <c:v>-2.1885707378387451</c:v>
                </c:pt>
                <c:pt idx="25">
                  <c:v>-2.1885707378387451</c:v>
                </c:pt>
                <c:pt idx="26">
                  <c:v>-2.1882007122039795</c:v>
                </c:pt>
                <c:pt idx="27">
                  <c:v>-2.5011107921600342</c:v>
                </c:pt>
                <c:pt idx="28">
                  <c:v>-2.5011107921600342</c:v>
                </c:pt>
                <c:pt idx="29">
                  <c:v>-2.5011107921600342</c:v>
                </c:pt>
                <c:pt idx="30">
                  <c:v>-2.8136510848999023</c:v>
                </c:pt>
                <c:pt idx="31">
                  <c:v>-2.8136510848999023</c:v>
                </c:pt>
                <c:pt idx="32">
                  <c:v>-2.8132810592651367</c:v>
                </c:pt>
                <c:pt idx="33">
                  <c:v>-3.1258213520050049</c:v>
                </c:pt>
                <c:pt idx="34">
                  <c:v>-3.1258213520050049</c:v>
                </c:pt>
                <c:pt idx="35">
                  <c:v>-3.1258213520050049</c:v>
                </c:pt>
                <c:pt idx="36">
                  <c:v>-3.4391012191772461</c:v>
                </c:pt>
                <c:pt idx="37">
                  <c:v>-3.4394710063934326</c:v>
                </c:pt>
                <c:pt idx="38">
                  <c:v>-3.4387311935424805</c:v>
                </c:pt>
                <c:pt idx="39">
                  <c:v>-3.7516412734985352</c:v>
                </c:pt>
                <c:pt idx="40">
                  <c:v>-3.7512714862823486</c:v>
                </c:pt>
                <c:pt idx="41">
                  <c:v>-3.7516412734985352</c:v>
                </c:pt>
                <c:pt idx="42">
                  <c:v>-4.0641818046569824</c:v>
                </c:pt>
                <c:pt idx="43">
                  <c:v>-4.0641818046569824</c:v>
                </c:pt>
                <c:pt idx="44">
                  <c:v>-4.0638117790222168</c:v>
                </c:pt>
                <c:pt idx="45">
                  <c:v>-4.3763518333435059</c:v>
                </c:pt>
                <c:pt idx="46">
                  <c:v>-4.3770918846130371</c:v>
                </c:pt>
                <c:pt idx="47">
                  <c:v>-4.3770918846130371</c:v>
                </c:pt>
                <c:pt idx="48">
                  <c:v>-4.6892619132995605</c:v>
                </c:pt>
                <c:pt idx="49">
                  <c:v>-4.6892619132995605</c:v>
                </c:pt>
                <c:pt idx="50">
                  <c:v>-4.6888918876647949</c:v>
                </c:pt>
                <c:pt idx="51">
                  <c:v>-5.0014324188232422</c:v>
                </c:pt>
                <c:pt idx="52">
                  <c:v>-5.0021719932556152</c:v>
                </c:pt>
                <c:pt idx="53">
                  <c:v>-5.0021719932556152</c:v>
                </c:pt>
                <c:pt idx="54">
                  <c:v>-5.3139724731445313</c:v>
                </c:pt>
                <c:pt idx="55">
                  <c:v>-5.3143420219421387</c:v>
                </c:pt>
                <c:pt idx="56">
                  <c:v>-5.3143420219421387</c:v>
                </c:pt>
                <c:pt idx="57">
                  <c:v>-5.6268825531005859</c:v>
                </c:pt>
                <c:pt idx="58">
                  <c:v>-5.6272521018981934</c:v>
                </c:pt>
                <c:pt idx="59">
                  <c:v>-5.6268825531005859</c:v>
                </c:pt>
                <c:pt idx="60">
                  <c:v>-5.939422607421875</c:v>
                </c:pt>
                <c:pt idx="61">
                  <c:v>-5.939422607421875</c:v>
                </c:pt>
                <c:pt idx="62">
                  <c:v>-5.9397921562194824</c:v>
                </c:pt>
                <c:pt idx="63">
                  <c:v>-6.2519626617431641</c:v>
                </c:pt>
                <c:pt idx="64">
                  <c:v>-6.2519626617431641</c:v>
                </c:pt>
                <c:pt idx="65">
                  <c:v>-6.2519626617431641</c:v>
                </c:pt>
                <c:pt idx="66">
                  <c:v>-7.5024929046630859</c:v>
                </c:pt>
                <c:pt idx="67">
                  <c:v>-7.5024929046630859</c:v>
                </c:pt>
                <c:pt idx="68">
                  <c:v>-7.5024929046630859</c:v>
                </c:pt>
                <c:pt idx="69">
                  <c:v>-8.7515430450439453</c:v>
                </c:pt>
                <c:pt idx="70">
                  <c:v>-8.7522830963134766</c:v>
                </c:pt>
                <c:pt idx="71">
                  <c:v>-8.7519130706787109</c:v>
                </c:pt>
                <c:pt idx="72">
                  <c:v>-10.002444267272949</c:v>
                </c:pt>
                <c:pt idx="73">
                  <c:v>-10.002444267272949</c:v>
                </c:pt>
                <c:pt idx="74">
                  <c:v>-10.002444267272949</c:v>
                </c:pt>
                <c:pt idx="75">
                  <c:v>-11.256514549255371</c:v>
                </c:pt>
                <c:pt idx="76">
                  <c:v>-11.256514549255371</c:v>
                </c:pt>
                <c:pt idx="77">
                  <c:v>-11.256514549255371</c:v>
                </c:pt>
                <c:pt idx="78">
                  <c:v>-12.509724617004395</c:v>
                </c:pt>
                <c:pt idx="79">
                  <c:v>-12.505971908569336</c:v>
                </c:pt>
                <c:pt idx="80">
                  <c:v>-12.507847785949707</c:v>
                </c:pt>
                <c:pt idx="81">
                  <c:v>-13.755429267883301</c:v>
                </c:pt>
                <c:pt idx="82">
                  <c:v>-13.757305145263672</c:v>
                </c:pt>
                <c:pt idx="83">
                  <c:v>-13.755429267883301</c:v>
                </c:pt>
                <c:pt idx="84">
                  <c:v>-15.008639335632324</c:v>
                </c:pt>
                <c:pt idx="85">
                  <c:v>-15.008639335632324</c:v>
                </c:pt>
                <c:pt idx="86">
                  <c:v>-15.008639335632324</c:v>
                </c:pt>
                <c:pt idx="87">
                  <c:v>-16.258096694946289</c:v>
                </c:pt>
                <c:pt idx="88">
                  <c:v>-16.256219863891602</c:v>
                </c:pt>
                <c:pt idx="89">
                  <c:v>-16.258096694946289</c:v>
                </c:pt>
                <c:pt idx="90">
                  <c:v>-17.507553100585938</c:v>
                </c:pt>
                <c:pt idx="91">
                  <c:v>-17.509429931640625</c:v>
                </c:pt>
                <c:pt idx="92">
                  <c:v>-17.503801345825195</c:v>
                </c:pt>
                <c:pt idx="93">
                  <c:v>-18.758886337280273</c:v>
                </c:pt>
                <c:pt idx="94">
                  <c:v>-18.755134582519531</c:v>
                </c:pt>
                <c:pt idx="95">
                  <c:v>-18.755134582519531</c:v>
                </c:pt>
                <c:pt idx="96">
                  <c:v>-20.010221481323242</c:v>
                </c:pt>
                <c:pt idx="97">
                  <c:v>-20.008344650268555</c:v>
                </c:pt>
                <c:pt idx="98">
                  <c:v>-20.008344650268555</c:v>
                </c:pt>
                <c:pt idx="99">
                  <c:v>-21.255926132202148</c:v>
                </c:pt>
                <c:pt idx="100">
                  <c:v>-21.257801055908203</c:v>
                </c:pt>
                <c:pt idx="101">
                  <c:v>-21.257801055908203</c:v>
                </c:pt>
                <c:pt idx="102">
                  <c:v>-22.509136199951172</c:v>
                </c:pt>
                <c:pt idx="103">
                  <c:v>-22.509136199951172</c:v>
                </c:pt>
                <c:pt idx="104">
                  <c:v>-22.509136199951172</c:v>
                </c:pt>
                <c:pt idx="105">
                  <c:v>-23.75859260559082</c:v>
                </c:pt>
                <c:pt idx="106">
                  <c:v>-23.756715774536133</c:v>
                </c:pt>
                <c:pt idx="107">
                  <c:v>-23.75859260559082</c:v>
                </c:pt>
                <c:pt idx="108">
                  <c:v>-25.011802673339844</c:v>
                </c:pt>
                <c:pt idx="109">
                  <c:v>-25.009925842285156</c:v>
                </c:pt>
                <c:pt idx="110">
                  <c:v>-25.008050918579102</c:v>
                </c:pt>
                <c:pt idx="111">
                  <c:v>-26.259384155273438</c:v>
                </c:pt>
                <c:pt idx="112">
                  <c:v>-26.25750732421875</c:v>
                </c:pt>
                <c:pt idx="113">
                  <c:v>-26.25750732421875</c:v>
                </c:pt>
                <c:pt idx="114">
                  <c:v>-27.510717391967773</c:v>
                </c:pt>
                <c:pt idx="115">
                  <c:v>-27.510717391967773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92-4F0D-B454-BCA98F4DE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482048"/>
        <c:axId val="266072832"/>
      </c:scatterChart>
      <c:scatterChart>
        <c:scatterStyle val="lineMarker"/>
        <c:varyColors val="0"/>
        <c:ser>
          <c:idx val="2"/>
          <c:order val="2"/>
          <c:tx>
            <c:v>1-001 Voltage(V) </c:v>
          </c:tx>
          <c:marker>
            <c:symbol val="none"/>
          </c:marker>
          <c:xVal>
            <c:numRef>
              <c:f>'Channel_1-001'!$B$2:$B$117</c:f>
              <c:numCache>
                <c:formatCode>0.000</c:formatCode>
                <c:ptCount val="116"/>
                <c:pt idx="0">
                  <c:v>5.0093103515436193</c:v>
                </c:pt>
                <c:pt idx="1">
                  <c:v>10.009526094926445</c:v>
                </c:pt>
                <c:pt idx="2">
                  <c:v>15.020456051856174</c:v>
                </c:pt>
                <c:pt idx="3">
                  <c:v>20.033273915814274</c:v>
                </c:pt>
                <c:pt idx="4">
                  <c:v>25.03537185216479</c:v>
                </c:pt>
                <c:pt idx="5">
                  <c:v>30.003372292892152</c:v>
                </c:pt>
                <c:pt idx="6">
                  <c:v>31.021960594104776</c:v>
                </c:pt>
                <c:pt idx="7">
                  <c:v>32.024959760983279</c:v>
                </c:pt>
                <c:pt idx="8">
                  <c:v>33.011273449667222</c:v>
                </c:pt>
                <c:pt idx="9">
                  <c:v>34.018158384381564</c:v>
                </c:pt>
                <c:pt idx="10">
                  <c:v>35.02295409704594</c:v>
                </c:pt>
                <c:pt idx="11">
                  <c:v>36.02798739827648</c:v>
                </c:pt>
                <c:pt idx="12">
                  <c:v>37.036818786585563</c:v>
                </c:pt>
                <c:pt idx="13">
                  <c:v>38.039782033647086</c:v>
                </c:pt>
                <c:pt idx="14">
                  <c:v>39.045683499754759</c:v>
                </c:pt>
                <c:pt idx="15">
                  <c:v>40.055437209060869</c:v>
                </c:pt>
                <c:pt idx="16">
                  <c:v>41.058442153728286</c:v>
                </c:pt>
                <c:pt idx="17">
                  <c:v>42.063332298763747</c:v>
                </c:pt>
                <c:pt idx="18">
                  <c:v>43.068253160813576</c:v>
                </c:pt>
                <c:pt idx="19">
                  <c:v>44.072208357708789</c:v>
                </c:pt>
                <c:pt idx="20">
                  <c:v>45.074195263702464</c:v>
                </c:pt>
                <c:pt idx="21">
                  <c:v>46.083029125598344</c:v>
                </c:pt>
                <c:pt idx="22">
                  <c:v>47.086947462863975</c:v>
                </c:pt>
                <c:pt idx="23">
                  <c:v>48.082140621386202</c:v>
                </c:pt>
                <c:pt idx="24">
                  <c:v>49.086105641381828</c:v>
                </c:pt>
                <c:pt idx="25">
                  <c:v>50.092992418128894</c:v>
                </c:pt>
                <c:pt idx="26">
                  <c:v>51.101649294513997</c:v>
                </c:pt>
                <c:pt idx="27">
                  <c:v>52.108618756153533</c:v>
                </c:pt>
                <c:pt idx="28">
                  <c:v>53.116466626806677</c:v>
                </c:pt>
                <c:pt idx="29">
                  <c:v>54.105852495247234</c:v>
                </c:pt>
                <c:pt idx="30">
                  <c:v>55.115581859647484</c:v>
                </c:pt>
                <c:pt idx="31">
                  <c:v>56.119505599135017</c:v>
                </c:pt>
                <c:pt idx="32">
                  <c:v>57.122431937875696</c:v>
                </c:pt>
                <c:pt idx="33">
                  <c:v>58.128391804118003</c:v>
                </c:pt>
                <c:pt idx="34">
                  <c:v>59.134241478853319</c:v>
                </c:pt>
                <c:pt idx="35">
                  <c:v>60.140131874147457</c:v>
                </c:pt>
                <c:pt idx="36">
                  <c:v>61.147024304807189</c:v>
                </c:pt>
                <c:pt idx="37">
                  <c:v>62.150963818109567</c:v>
                </c:pt>
                <c:pt idx="38">
                  <c:v>63.153950944287907</c:v>
                </c:pt>
                <c:pt idx="39">
                  <c:v>64.15783603474263</c:v>
                </c:pt>
                <c:pt idx="40">
                  <c:v>65.163783021792909</c:v>
                </c:pt>
                <c:pt idx="41">
                  <c:v>66.168589887974335</c:v>
                </c:pt>
                <c:pt idx="42">
                  <c:v>67.178397271858245</c:v>
                </c:pt>
                <c:pt idx="43">
                  <c:v>68.182321736702093</c:v>
                </c:pt>
                <c:pt idx="44">
                  <c:v>69.187317272502696</c:v>
                </c:pt>
                <c:pt idx="45">
                  <c:v>70.191287103980869</c:v>
                </c:pt>
                <c:pt idx="46">
                  <c:v>71.19620640970102</c:v>
                </c:pt>
                <c:pt idx="47">
                  <c:v>72.204991890043715</c:v>
                </c:pt>
                <c:pt idx="48">
                  <c:v>73.209898917693891</c:v>
                </c:pt>
                <c:pt idx="49">
                  <c:v>74.214935406768802</c:v>
                </c:pt>
                <c:pt idx="50">
                  <c:v>75.219770884784353</c:v>
                </c:pt>
                <c:pt idx="51">
                  <c:v>76.224689524938142</c:v>
                </c:pt>
                <c:pt idx="52">
                  <c:v>77.232539711289562</c:v>
                </c:pt>
                <c:pt idx="53">
                  <c:v>78.225631689407152</c:v>
                </c:pt>
                <c:pt idx="54">
                  <c:v>79.229605148741001</c:v>
                </c:pt>
                <c:pt idx="55">
                  <c:v>80.234611285269821</c:v>
                </c:pt>
                <c:pt idx="56">
                  <c:v>81.240380918402778</c:v>
                </c:pt>
                <c:pt idx="57">
                  <c:v>82.244410548456742</c:v>
                </c:pt>
                <c:pt idx="58">
                  <c:v>83.254244194106207</c:v>
                </c:pt>
                <c:pt idx="59">
                  <c:v>84.245443675329653</c:v>
                </c:pt>
                <c:pt idx="60">
                  <c:v>85.255309087003383</c:v>
                </c:pt>
                <c:pt idx="61">
                  <c:v>86.259268697258605</c:v>
                </c:pt>
                <c:pt idx="62">
                  <c:v>87.249480920192909</c:v>
                </c:pt>
                <c:pt idx="63">
                  <c:v>88.256330307793107</c:v>
                </c:pt>
                <c:pt idx="64">
                  <c:v>89.260269700799469</c:v>
                </c:pt>
                <c:pt idx="65">
                  <c:v>90.267217106737647</c:v>
                </c:pt>
                <c:pt idx="66">
                  <c:v>91.272144731500006</c:v>
                </c:pt>
                <c:pt idx="67">
                  <c:v>92.272996370354193</c:v>
                </c:pt>
                <c:pt idx="68">
                  <c:v>93.277950497832165</c:v>
                </c:pt>
                <c:pt idx="69">
                  <c:v>94.285953350924217</c:v>
                </c:pt>
                <c:pt idx="70">
                  <c:v>95.290790114603439</c:v>
                </c:pt>
                <c:pt idx="71">
                  <c:v>96.295702048254455</c:v>
                </c:pt>
                <c:pt idx="72">
                  <c:v>97.304497934202374</c:v>
                </c:pt>
                <c:pt idx="73">
                  <c:v>98.307483564199046</c:v>
                </c:pt>
                <c:pt idx="74">
                  <c:v>99.312455570672114</c:v>
                </c:pt>
                <c:pt idx="75">
                  <c:v>100.32220843396787</c:v>
                </c:pt>
                <c:pt idx="76">
                  <c:v>101.32608778028792</c:v>
                </c:pt>
                <c:pt idx="77">
                  <c:v>102.3212893634694</c:v>
                </c:pt>
                <c:pt idx="78">
                  <c:v>103.32712329840211</c:v>
                </c:pt>
                <c:pt idx="79">
                  <c:v>104.33115870624501</c:v>
                </c:pt>
                <c:pt idx="80">
                  <c:v>105.32529996276553</c:v>
                </c:pt>
                <c:pt idx="81">
                  <c:v>106.33215282749336</c:v>
                </c:pt>
                <c:pt idx="82">
                  <c:v>107.33711071780202</c:v>
                </c:pt>
                <c:pt idx="83">
                  <c:v>108.34198901761836</c:v>
                </c:pt>
                <c:pt idx="84">
                  <c:v>109.34888397449438</c:v>
                </c:pt>
                <c:pt idx="85">
                  <c:v>110.35281543190209</c:v>
                </c:pt>
                <c:pt idx="86">
                  <c:v>111.35867682440004</c:v>
                </c:pt>
                <c:pt idx="87">
                  <c:v>112.36558463039408</c:v>
                </c:pt>
                <c:pt idx="88">
                  <c:v>113.36952606843268</c:v>
                </c:pt>
                <c:pt idx="89">
                  <c:v>114.3744921166728</c:v>
                </c:pt>
                <c:pt idx="90">
                  <c:v>115.38131197124352</c:v>
                </c:pt>
                <c:pt idx="91">
                  <c:v>116.3842547644024</c:v>
                </c:pt>
                <c:pt idx="92">
                  <c:v>117.39309708855004</c:v>
                </c:pt>
                <c:pt idx="93">
                  <c:v>118.40088061587264</c:v>
                </c:pt>
                <c:pt idx="94">
                  <c:v>119.40389624826808</c:v>
                </c:pt>
                <c:pt idx="95">
                  <c:v>120.41083872600794</c:v>
                </c:pt>
                <c:pt idx="96">
                  <c:v>121.4157415432976</c:v>
                </c:pt>
                <c:pt idx="97">
                  <c:v>122.4215910264902</c:v>
                </c:pt>
                <c:pt idx="98">
                  <c:v>123.42456070580822</c:v>
                </c:pt>
                <c:pt idx="99">
                  <c:v>124.42849591852809</c:v>
                </c:pt>
                <c:pt idx="100">
                  <c:v>125.4324063015778</c:v>
                </c:pt>
                <c:pt idx="101">
                  <c:v>126.44041835373471</c:v>
                </c:pt>
                <c:pt idx="102">
                  <c:v>127.4442566078672</c:v>
                </c:pt>
                <c:pt idx="103">
                  <c:v>128.44818974548085</c:v>
                </c:pt>
                <c:pt idx="104">
                  <c:v>129.45700767567334</c:v>
                </c:pt>
                <c:pt idx="105">
                  <c:v>130.46291452860791</c:v>
                </c:pt>
                <c:pt idx="106">
                  <c:v>131.46781958676883</c:v>
                </c:pt>
                <c:pt idx="107">
                  <c:v>132.47173098087794</c:v>
                </c:pt>
                <c:pt idx="108">
                  <c:v>133.47956993816928</c:v>
                </c:pt>
                <c:pt idx="109">
                  <c:v>134.48157748244788</c:v>
                </c:pt>
                <c:pt idx="110">
                  <c:v>135.48656411634343</c:v>
                </c:pt>
                <c:pt idx="111">
                  <c:v>136.49147664001777</c:v>
                </c:pt>
                <c:pt idx="112">
                  <c:v>137.49637019845261</c:v>
                </c:pt>
                <c:pt idx="113">
                  <c:v>138.50512862364889</c:v>
                </c:pt>
                <c:pt idx="114">
                  <c:v>139.50909047047912</c:v>
                </c:pt>
                <c:pt idx="115">
                  <c:v>140.51111232246492</c:v>
                </c:pt>
              </c:numCache>
            </c:numRef>
          </c:xVal>
          <c:yVal>
            <c:numRef>
              <c:f>'Channel_1-001'!$H$2:$H$117</c:f>
              <c:numCache>
                <c:formatCode>General</c:formatCode>
                <c:ptCount val="116"/>
                <c:pt idx="0">
                  <c:v>0.915294349193573</c:v>
                </c:pt>
                <c:pt idx="1">
                  <c:v>0.91498672962188721</c:v>
                </c:pt>
                <c:pt idx="2">
                  <c:v>0.91498672962188721</c:v>
                </c:pt>
                <c:pt idx="3">
                  <c:v>0.91467905044555664</c:v>
                </c:pt>
                <c:pt idx="4">
                  <c:v>0.91467905044555664</c:v>
                </c:pt>
                <c:pt idx="5">
                  <c:v>0.91498672962188721</c:v>
                </c:pt>
                <c:pt idx="6">
                  <c:v>0.86343555325984955</c:v>
                </c:pt>
                <c:pt idx="7">
                  <c:v>0.86312793368816376</c:v>
                </c:pt>
                <c:pt idx="8">
                  <c:v>0.86282033052444462</c:v>
                </c:pt>
                <c:pt idx="9">
                  <c:v>0.83376267227172851</c:v>
                </c:pt>
                <c:pt idx="10">
                  <c:v>0.83407035144805908</c:v>
                </c:pt>
                <c:pt idx="11">
                  <c:v>0.83437797101974487</c:v>
                </c:pt>
                <c:pt idx="12">
                  <c:v>0.81576205553054815</c:v>
                </c:pt>
                <c:pt idx="13">
                  <c:v>0.81606969149589537</c:v>
                </c:pt>
                <c:pt idx="14">
                  <c:v>0.81668499024391172</c:v>
                </c:pt>
                <c:pt idx="15">
                  <c:v>0.8014535880470276</c:v>
                </c:pt>
                <c:pt idx="16">
                  <c:v>0.80145341054916386</c:v>
                </c:pt>
                <c:pt idx="17">
                  <c:v>0.80206888679504396</c:v>
                </c:pt>
                <c:pt idx="18">
                  <c:v>0.78991305290222169</c:v>
                </c:pt>
                <c:pt idx="19">
                  <c:v>0.78991323040008543</c:v>
                </c:pt>
                <c:pt idx="20">
                  <c:v>0.79022084997177122</c:v>
                </c:pt>
                <c:pt idx="21">
                  <c:v>0.77960352859497073</c:v>
                </c:pt>
                <c:pt idx="22">
                  <c:v>0.77991114816665652</c:v>
                </c:pt>
                <c:pt idx="23">
                  <c:v>0.78021882734298709</c:v>
                </c:pt>
                <c:pt idx="24">
                  <c:v>0.76990912553787227</c:v>
                </c:pt>
                <c:pt idx="25">
                  <c:v>0.77052442428588863</c:v>
                </c:pt>
                <c:pt idx="26">
                  <c:v>0.77052424667358399</c:v>
                </c:pt>
                <c:pt idx="27">
                  <c:v>0.76144526031494142</c:v>
                </c:pt>
                <c:pt idx="28">
                  <c:v>0.76175293949127199</c:v>
                </c:pt>
                <c:pt idx="29">
                  <c:v>0.76175293949127199</c:v>
                </c:pt>
                <c:pt idx="30">
                  <c:v>0.75267377563476567</c:v>
                </c:pt>
                <c:pt idx="31">
                  <c:v>0.75328907438278203</c:v>
                </c:pt>
                <c:pt idx="32">
                  <c:v>0.75390419551849364</c:v>
                </c:pt>
                <c:pt idx="33">
                  <c:v>0.74513271083831789</c:v>
                </c:pt>
                <c:pt idx="34">
                  <c:v>0.74513271083831789</c:v>
                </c:pt>
                <c:pt idx="35">
                  <c:v>0.74574794998168947</c:v>
                </c:pt>
                <c:pt idx="36">
                  <c:v>0.73697682029724121</c:v>
                </c:pt>
                <c:pt idx="37">
                  <c:v>0.73728467697143552</c:v>
                </c:pt>
                <c:pt idx="38">
                  <c:v>0.73759194143295292</c:v>
                </c:pt>
                <c:pt idx="39">
                  <c:v>0.72974355257034307</c:v>
                </c:pt>
                <c:pt idx="40">
                  <c:v>0.72974337507247922</c:v>
                </c:pt>
                <c:pt idx="41">
                  <c:v>0.73005117214202886</c:v>
                </c:pt>
                <c:pt idx="42">
                  <c:v>0.72220260589599605</c:v>
                </c:pt>
                <c:pt idx="43">
                  <c:v>0.72220260589599605</c:v>
                </c:pt>
                <c:pt idx="44">
                  <c:v>0.7225100478553772</c:v>
                </c:pt>
                <c:pt idx="45">
                  <c:v>0.71466148138046259</c:v>
                </c:pt>
                <c:pt idx="46">
                  <c:v>0.71466183660507199</c:v>
                </c:pt>
                <c:pt idx="47">
                  <c:v>0.71496951578140255</c:v>
                </c:pt>
                <c:pt idx="48">
                  <c:v>0.70742839126586909</c:v>
                </c:pt>
                <c:pt idx="49">
                  <c:v>0.70773601083755489</c:v>
                </c:pt>
                <c:pt idx="50">
                  <c:v>0.70804345279693603</c:v>
                </c:pt>
                <c:pt idx="51">
                  <c:v>0.70050256572723391</c:v>
                </c:pt>
                <c:pt idx="52">
                  <c:v>0.70019524154663082</c:v>
                </c:pt>
                <c:pt idx="53">
                  <c:v>0.70050292072296139</c:v>
                </c:pt>
                <c:pt idx="54">
                  <c:v>0.69326923839569088</c:v>
                </c:pt>
                <c:pt idx="55">
                  <c:v>0.69296179620742793</c:v>
                </c:pt>
                <c:pt idx="56">
                  <c:v>0.69326941577911372</c:v>
                </c:pt>
                <c:pt idx="57">
                  <c:v>0.68603614828109738</c:v>
                </c:pt>
                <c:pt idx="58">
                  <c:v>0.68603632566452022</c:v>
                </c:pt>
                <c:pt idx="59">
                  <c:v>0.68634376785278317</c:v>
                </c:pt>
                <c:pt idx="60">
                  <c:v>0.67911050012588503</c:v>
                </c:pt>
                <c:pt idx="61">
                  <c:v>0.67911050012588503</c:v>
                </c:pt>
                <c:pt idx="62">
                  <c:v>0.6788029983329773</c:v>
                </c:pt>
                <c:pt idx="63">
                  <c:v>0.67249247154235836</c:v>
                </c:pt>
                <c:pt idx="64">
                  <c:v>0.67218479236602779</c:v>
                </c:pt>
                <c:pt idx="65">
                  <c:v>0.671877172794342</c:v>
                </c:pt>
                <c:pt idx="66">
                  <c:v>0.64478999692916872</c:v>
                </c:pt>
                <c:pt idx="67">
                  <c:v>0.64448237735748293</c:v>
                </c:pt>
                <c:pt idx="68">
                  <c:v>0.64448237735748293</c:v>
                </c:pt>
                <c:pt idx="69">
                  <c:v>0.618317409362793</c:v>
                </c:pt>
                <c:pt idx="70">
                  <c:v>0.61770246583938604</c:v>
                </c:pt>
                <c:pt idx="71">
                  <c:v>0.61800996740341185</c:v>
                </c:pt>
                <c:pt idx="72">
                  <c:v>0.59184571031570432</c:v>
                </c:pt>
                <c:pt idx="73">
                  <c:v>0.59153803113937375</c:v>
                </c:pt>
                <c:pt idx="74">
                  <c:v>0.59123041156768796</c:v>
                </c:pt>
                <c:pt idx="75">
                  <c:v>0.56537547281265255</c:v>
                </c:pt>
                <c:pt idx="76">
                  <c:v>0.56537547281265255</c:v>
                </c:pt>
                <c:pt idx="77">
                  <c:v>0.56414493492126461</c:v>
                </c:pt>
                <c:pt idx="78">
                  <c:v>0.53890488201141362</c:v>
                </c:pt>
                <c:pt idx="79">
                  <c:v>0.53828778196334837</c:v>
                </c:pt>
                <c:pt idx="80">
                  <c:v>0.53798106281280522</c:v>
                </c:pt>
                <c:pt idx="81">
                  <c:v>0.5124306886100769</c:v>
                </c:pt>
                <c:pt idx="82">
                  <c:v>0.51181629028320308</c:v>
                </c:pt>
                <c:pt idx="83">
                  <c:v>0.51120009111404419</c:v>
                </c:pt>
                <c:pt idx="84">
                  <c:v>0.48534479906082151</c:v>
                </c:pt>
                <c:pt idx="85">
                  <c:v>0.48472953011512754</c:v>
                </c:pt>
                <c:pt idx="86">
                  <c:v>0.48411426116943357</c:v>
                </c:pt>
                <c:pt idx="87">
                  <c:v>0.45887240695953369</c:v>
                </c:pt>
                <c:pt idx="88">
                  <c:v>0.45794858776092529</c:v>
                </c:pt>
                <c:pt idx="89">
                  <c:v>0.45733418989181518</c:v>
                </c:pt>
                <c:pt idx="90">
                  <c:v>0.43147706627845767</c:v>
                </c:pt>
                <c:pt idx="91">
                  <c:v>0.43086269821166995</c:v>
                </c:pt>
                <c:pt idx="92">
                  <c:v>0.42993707817077637</c:v>
                </c:pt>
                <c:pt idx="93">
                  <c:v>0.40377500690460205</c:v>
                </c:pt>
                <c:pt idx="94">
                  <c:v>0.40254263836860654</c:v>
                </c:pt>
                <c:pt idx="95">
                  <c:v>0.40161974985122678</c:v>
                </c:pt>
                <c:pt idx="96">
                  <c:v>0.37515003012657167</c:v>
                </c:pt>
                <c:pt idx="97">
                  <c:v>0.37391856155395509</c:v>
                </c:pt>
                <c:pt idx="98">
                  <c:v>0.37330329260826112</c:v>
                </c:pt>
                <c:pt idx="99">
                  <c:v>0.34652235071182252</c:v>
                </c:pt>
                <c:pt idx="100">
                  <c:v>0.34498506340980528</c:v>
                </c:pt>
                <c:pt idx="101">
                  <c:v>0.34375449571609495</c:v>
                </c:pt>
                <c:pt idx="102">
                  <c:v>0.31666770620346069</c:v>
                </c:pt>
                <c:pt idx="103">
                  <c:v>0.31543716831207275</c:v>
                </c:pt>
                <c:pt idx="104">
                  <c:v>0.31389898104667663</c:v>
                </c:pt>
                <c:pt idx="105">
                  <c:v>0.28619602079391482</c:v>
                </c:pt>
                <c:pt idx="106">
                  <c:v>0.28496455222129824</c:v>
                </c:pt>
                <c:pt idx="107">
                  <c:v>0.28311961646080019</c:v>
                </c:pt>
                <c:pt idx="108">
                  <c:v>0.25511080859184265</c:v>
                </c:pt>
                <c:pt idx="109">
                  <c:v>0.25295645150184631</c:v>
                </c:pt>
                <c:pt idx="110">
                  <c:v>0.25141734937191007</c:v>
                </c:pt>
                <c:pt idx="111">
                  <c:v>0.22279237167835236</c:v>
                </c:pt>
                <c:pt idx="112">
                  <c:v>0.22063801458835602</c:v>
                </c:pt>
                <c:pt idx="113">
                  <c:v>0.21879217794895173</c:v>
                </c:pt>
                <c:pt idx="114">
                  <c:v>0.18862991386890413</c:v>
                </c:pt>
                <c:pt idx="115">
                  <c:v>0.18616880828380586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92-4F0D-B454-BCA98F4DE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589312"/>
        <c:axId val="266565504"/>
      </c:scatterChart>
      <c:valAx>
        <c:axId val="26648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Test_Time(s)</a:t>
                </a:r>
              </a:p>
            </c:rich>
          </c:tx>
          <c:overlay val="0"/>
        </c:title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66072832"/>
        <c:crosses val="autoZero"/>
        <c:crossBetween val="midCat"/>
        <c:minorUnit val="1"/>
      </c:valAx>
      <c:valAx>
        <c:axId val="266072832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Current(A)</a:t>
                </a:r>
              </a:p>
            </c:rich>
          </c:tx>
          <c:overlay val="0"/>
        </c:title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66482048"/>
        <c:crosses val="autoZero"/>
        <c:crossBetween val="midCat"/>
      </c:valAx>
      <c:valAx>
        <c:axId val="26656550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Voltage(V)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6589312"/>
        <c:crosses val="max"/>
        <c:crossBetween val="midCat"/>
      </c:valAx>
      <c:valAx>
        <c:axId val="266589312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266565504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9966859983429992"/>
          <c:y val="0.5"/>
          <c:w val="3.3140016570008283E-3"/>
          <c:h val="0.107982604416295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1"/>
  <sheetViews>
    <sheetView zoomScale="89"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112" cy="6018944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7734375" defaultRowHeight="14.4" x14ac:dyDescent="0.25"/>
  <cols>
    <col min="1" max="1" width="7.77734375" style="2" customWidth="1"/>
    <col min="2" max="2" width="15.77734375" style="2" customWidth="1"/>
    <col min="3" max="4" width="18.77734375" style="2" customWidth="1"/>
    <col min="5" max="5" width="20.109375" style="2" customWidth="1"/>
    <col min="6" max="7" width="10" style="1" customWidth="1"/>
    <col min="8" max="12" width="5.44140625" style="1" customWidth="1"/>
    <col min="13" max="18" width="8.88671875" style="1" customWidth="1"/>
    <col min="19" max="20" width="11.77734375" style="1"/>
    <col min="21" max="22" width="6.44140625" style="1" customWidth="1"/>
    <col min="23" max="16384" width="11.77734375" style="1"/>
  </cols>
  <sheetData>
    <row r="1" spans="1:22" ht="18" x14ac:dyDescent="0.25">
      <c r="D1" s="4" t="s">
        <v>0</v>
      </c>
    </row>
    <row r="2" spans="1:22" x14ac:dyDescent="0.25">
      <c r="D2" s="3" t="s">
        <v>28</v>
      </c>
      <c r="L2" s="1" t="s">
        <v>1</v>
      </c>
    </row>
    <row r="3" spans="1:22" x14ac:dyDescent="0.25">
      <c r="D3" s="5">
        <v>44798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2" s="7" customFormat="1" ht="57.6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</row>
    <row r="5" spans="1:22" x14ac:dyDescent="0.25">
      <c r="A5" s="15" t="s">
        <v>29</v>
      </c>
      <c r="B5" s="16">
        <v>44797.477743055555</v>
      </c>
      <c r="C5" s="2" t="s">
        <v>30</v>
      </c>
      <c r="F5" s="1">
        <v>1</v>
      </c>
      <c r="G5" s="2"/>
      <c r="H5" s="1">
        <v>8</v>
      </c>
      <c r="I5" s="1">
        <v>13</v>
      </c>
      <c r="J5" s="1">
        <v>2</v>
      </c>
      <c r="K5" s="1">
        <v>0</v>
      </c>
      <c r="L5" s="1">
        <v>2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22</v>
      </c>
      <c r="V5" s="1">
        <v>20</v>
      </c>
    </row>
  </sheetData>
  <phoneticPr fontId="1" type="noConversion"/>
  <printOptions headings="1"/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7"/>
  <sheetViews>
    <sheetView tabSelected="1" workbookViewId="0">
      <pane xSplit="1" ySplit="1" topLeftCell="B81" activePane="bottomRight" state="frozen"/>
      <selection pane="topRight" activeCell="B1" sqref="B1"/>
      <selection pane="bottomLeft" activeCell="A2" sqref="A2"/>
      <selection pane="bottomRight" activeCell="J95" sqref="J95"/>
    </sheetView>
  </sheetViews>
  <sheetFormatPr defaultColWidth="11.77734375" defaultRowHeight="14.4" x14ac:dyDescent="0.25"/>
  <cols>
    <col min="1" max="1" width="11.77734375" style="3"/>
    <col min="2" max="2" width="11.77734375" style="23"/>
    <col min="3" max="3" width="16.33203125" style="18" customWidth="1"/>
    <col min="4" max="4" width="11.77734375" style="23"/>
    <col min="5" max="5" width="11.77734375" style="19"/>
    <col min="6" max="6" width="11.77734375" style="17"/>
    <col min="7" max="7" width="11.77734375" style="19"/>
    <col min="8" max="10" width="11.77734375" style="17"/>
    <col min="11" max="11" width="11.77734375" style="19"/>
    <col min="12" max="12" width="11.77734375" style="17"/>
    <col min="13" max="13" width="11.77734375" style="19"/>
    <col min="14" max="14" width="11.77734375" style="17"/>
    <col min="15" max="15" width="11.77734375" style="19"/>
    <col min="16" max="16" width="11.77734375" style="17"/>
    <col min="17" max="17" width="11.77734375" style="19"/>
    <col min="18" max="18" width="11.77734375" style="17"/>
    <col min="19" max="19" width="11.77734375" style="19"/>
    <col min="20" max="16384" width="11.77734375" style="1"/>
  </cols>
  <sheetData>
    <row r="1" spans="1:19" s="20" customFormat="1" ht="24.45" customHeight="1" x14ac:dyDescent="0.25">
      <c r="A1" s="20" t="s">
        <v>31</v>
      </c>
      <c r="B1" s="22" t="s">
        <v>32</v>
      </c>
      <c r="C1" s="21" t="s">
        <v>33</v>
      </c>
      <c r="D1" s="22" t="s">
        <v>34</v>
      </c>
      <c r="E1" s="20" t="s">
        <v>35</v>
      </c>
      <c r="F1" s="20" t="s">
        <v>36</v>
      </c>
      <c r="G1" s="20" t="s">
        <v>37</v>
      </c>
      <c r="H1" s="20" t="s">
        <v>38</v>
      </c>
      <c r="K1" s="20" t="s">
        <v>39</v>
      </c>
      <c r="L1" s="20" t="s">
        <v>22</v>
      </c>
      <c r="M1" s="20" t="s">
        <v>40</v>
      </c>
      <c r="N1" s="20" t="s">
        <v>41</v>
      </c>
      <c r="O1" s="20" t="s">
        <v>42</v>
      </c>
      <c r="P1" s="20" t="s">
        <v>21</v>
      </c>
      <c r="Q1" s="20" t="s">
        <v>43</v>
      </c>
      <c r="R1" s="20" t="s">
        <v>44</v>
      </c>
      <c r="S1" s="20" t="s">
        <v>45</v>
      </c>
    </row>
    <row r="2" spans="1:19" x14ac:dyDescent="0.25">
      <c r="A2" s="3">
        <v>1</v>
      </c>
      <c r="B2" s="23">
        <v>5.0093103515436193</v>
      </c>
      <c r="C2" s="18">
        <v>44797.477800925917</v>
      </c>
      <c r="D2" s="23">
        <v>5.0093106784193964</v>
      </c>
      <c r="E2" s="19">
        <v>1</v>
      </c>
      <c r="F2" s="17">
        <v>1</v>
      </c>
      <c r="G2" s="19">
        <v>0</v>
      </c>
      <c r="H2" s="17">
        <v>0.915294349193573</v>
      </c>
      <c r="K2" s="19">
        <v>0</v>
      </c>
      <c r="L2" s="17">
        <v>0</v>
      </c>
      <c r="M2" s="19">
        <v>0</v>
      </c>
      <c r="N2" s="17">
        <v>0</v>
      </c>
      <c r="O2" s="19">
        <v>6.1523911426775157E-5</v>
      </c>
      <c r="P2" s="17">
        <v>0</v>
      </c>
      <c r="Q2" s="19">
        <v>0</v>
      </c>
      <c r="R2" s="17">
        <v>0</v>
      </c>
      <c r="S2" s="19">
        <v>0</v>
      </c>
    </row>
    <row r="3" spans="1:19" x14ac:dyDescent="0.25">
      <c r="A3" s="3">
        <v>2</v>
      </c>
      <c r="B3" s="23">
        <v>10.009526094926445</v>
      </c>
      <c r="C3" s="18">
        <v>44797.477858796294</v>
      </c>
      <c r="D3" s="23">
        <v>10.009526422160246</v>
      </c>
      <c r="E3" s="19">
        <v>1</v>
      </c>
      <c r="F3" s="17">
        <v>1</v>
      </c>
      <c r="G3" s="19">
        <v>0</v>
      </c>
      <c r="H3" s="17">
        <v>0.91498672962188721</v>
      </c>
      <c r="K3" s="19">
        <v>0</v>
      </c>
      <c r="L3" s="17">
        <v>0</v>
      </c>
      <c r="M3" s="19">
        <v>0</v>
      </c>
      <c r="N3" s="17">
        <v>0</v>
      </c>
      <c r="O3" s="19">
        <v>-6.1523911426775157E-5</v>
      </c>
      <c r="P3" s="17">
        <v>0</v>
      </c>
      <c r="Q3" s="19">
        <v>0</v>
      </c>
      <c r="R3" s="17">
        <v>0</v>
      </c>
      <c r="S3" s="19">
        <v>0</v>
      </c>
    </row>
    <row r="4" spans="1:19" x14ac:dyDescent="0.25">
      <c r="A4" s="3">
        <v>3</v>
      </c>
      <c r="B4" s="23">
        <v>15.020456051856174</v>
      </c>
      <c r="C4" s="18">
        <v>44797.47792824074</v>
      </c>
      <c r="D4" s="23">
        <v>15.020456379089977</v>
      </c>
      <c r="E4" s="19">
        <v>1</v>
      </c>
      <c r="F4" s="17">
        <v>1</v>
      </c>
      <c r="G4" s="19">
        <v>0</v>
      </c>
      <c r="H4" s="17">
        <v>0.91498672962188721</v>
      </c>
      <c r="K4" s="19">
        <v>0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  <c r="R4" s="17">
        <v>0</v>
      </c>
      <c r="S4" s="19">
        <v>0</v>
      </c>
    </row>
    <row r="5" spans="1:19" x14ac:dyDescent="0.25">
      <c r="A5" s="3">
        <v>4</v>
      </c>
      <c r="B5" s="23">
        <v>20.033273915814274</v>
      </c>
      <c r="C5" s="18">
        <v>44797.477986111109</v>
      </c>
      <c r="D5" s="23">
        <v>20.033274239109812</v>
      </c>
      <c r="E5" s="19">
        <v>1</v>
      </c>
      <c r="F5" s="17">
        <v>1</v>
      </c>
      <c r="G5" s="19">
        <v>0</v>
      </c>
      <c r="H5" s="17">
        <v>0.91467905044555664</v>
      </c>
      <c r="K5" s="19">
        <v>0</v>
      </c>
      <c r="L5" s="17">
        <v>0</v>
      </c>
      <c r="M5" s="19">
        <v>0</v>
      </c>
      <c r="N5" s="17">
        <v>0</v>
      </c>
      <c r="O5" s="19">
        <v>-6.1535836721304804E-5</v>
      </c>
      <c r="P5" s="17">
        <v>0</v>
      </c>
      <c r="Q5" s="19">
        <v>0</v>
      </c>
      <c r="R5" s="17">
        <v>0</v>
      </c>
      <c r="S5" s="19">
        <v>0</v>
      </c>
    </row>
    <row r="6" spans="1:19" x14ac:dyDescent="0.25">
      <c r="A6" s="3">
        <v>5</v>
      </c>
      <c r="B6" s="23">
        <v>25.03537185216479</v>
      </c>
      <c r="C6" s="18">
        <v>44797.478043981479</v>
      </c>
      <c r="D6" s="23">
        <v>25.035372258163839</v>
      </c>
      <c r="E6" s="19">
        <v>1</v>
      </c>
      <c r="F6" s="17">
        <v>1</v>
      </c>
      <c r="G6" s="19">
        <v>0</v>
      </c>
      <c r="H6" s="17">
        <v>0.91467905044555664</v>
      </c>
      <c r="K6" s="19">
        <v>0</v>
      </c>
      <c r="L6" s="17">
        <v>0</v>
      </c>
      <c r="M6" s="19">
        <v>0</v>
      </c>
      <c r="N6" s="17">
        <v>0</v>
      </c>
      <c r="O6" s="19">
        <v>0</v>
      </c>
      <c r="P6" s="17">
        <v>0</v>
      </c>
      <c r="Q6" s="19">
        <v>0</v>
      </c>
      <c r="R6" s="17">
        <v>0</v>
      </c>
      <c r="S6" s="19">
        <v>0</v>
      </c>
    </row>
    <row r="7" spans="1:19" x14ac:dyDescent="0.25">
      <c r="A7" s="3">
        <v>6</v>
      </c>
      <c r="B7" s="23">
        <v>30.003372292892152</v>
      </c>
      <c r="C7" s="18">
        <v>44797.478090277778</v>
      </c>
      <c r="D7" s="23">
        <v>30.00337261618769</v>
      </c>
      <c r="E7" s="19">
        <v>1</v>
      </c>
      <c r="F7" s="17">
        <v>1</v>
      </c>
      <c r="G7" s="19">
        <v>0</v>
      </c>
      <c r="H7" s="17">
        <v>0.91498672962188721</v>
      </c>
      <c r="K7" s="19">
        <v>0</v>
      </c>
      <c r="L7" s="17">
        <v>0</v>
      </c>
      <c r="M7" s="19">
        <v>0</v>
      </c>
      <c r="N7" s="17">
        <v>0</v>
      </c>
      <c r="O7" s="19">
        <v>6.1535836721304804E-5</v>
      </c>
      <c r="P7" s="17">
        <v>0</v>
      </c>
      <c r="Q7" s="19">
        <v>0</v>
      </c>
      <c r="R7" s="17">
        <v>0</v>
      </c>
      <c r="S7" s="19">
        <v>0</v>
      </c>
    </row>
    <row r="8" spans="1:19" x14ac:dyDescent="0.25">
      <c r="A8" s="3">
        <v>7</v>
      </c>
      <c r="B8" s="23">
        <v>31.021960594104776</v>
      </c>
      <c r="C8" s="18">
        <v>44797.478113425925</v>
      </c>
      <c r="D8" s="23">
        <v>1.0156602586364309</v>
      </c>
      <c r="E8" s="19">
        <v>2</v>
      </c>
      <c r="F8" s="17">
        <v>1</v>
      </c>
      <c r="G8" s="19">
        <v>-0.27514734864234924</v>
      </c>
      <c r="H8" s="17">
        <v>0.86343555325984955</v>
      </c>
      <c r="I8" s="17">
        <f>G8/6.25</f>
        <v>-4.4023575782775881E-2</v>
      </c>
      <c r="J8" s="17">
        <f>H8*I8</f>
        <v>-3.8011520512478005E-2</v>
      </c>
      <c r="K8" s="19">
        <v>0</v>
      </c>
      <c r="L8" s="17">
        <v>7.4051433481999996E-5</v>
      </c>
      <c r="M8" s="19">
        <v>0</v>
      </c>
      <c r="N8" s="17">
        <v>6.4801895405000001E-5</v>
      </c>
      <c r="O8" s="19">
        <v>-8.7984558194875717E-3</v>
      </c>
      <c r="P8" s="17">
        <v>0</v>
      </c>
      <c r="Q8" s="19">
        <v>0</v>
      </c>
      <c r="R8" s="17">
        <v>0</v>
      </c>
      <c r="S8" s="19">
        <v>0</v>
      </c>
    </row>
    <row r="9" spans="1:19" x14ac:dyDescent="0.25">
      <c r="A9" s="3">
        <v>8</v>
      </c>
      <c r="B9" s="23">
        <v>32.024959760983279</v>
      </c>
      <c r="C9" s="18">
        <v>44797.478125000001</v>
      </c>
      <c r="D9" s="23">
        <v>2.0186591172563921</v>
      </c>
      <c r="E9" s="19">
        <v>2</v>
      </c>
      <c r="F9" s="17">
        <v>1</v>
      </c>
      <c r="G9" s="19">
        <v>-0.27514734864234924</v>
      </c>
      <c r="H9" s="17">
        <v>0.86312793368816376</v>
      </c>
      <c r="I9" s="17">
        <f t="shared" ref="I9:I72" si="0">G9/6.25</f>
        <v>-4.4023575782775881E-2</v>
      </c>
      <c r="J9" s="17">
        <f t="shared" ref="J9:J72" si="1">H9*I9</f>
        <v>-3.7997977998951632E-2</v>
      </c>
      <c r="K9" s="19">
        <v>0</v>
      </c>
      <c r="L9" s="17">
        <v>1.50711277063E-4</v>
      </c>
      <c r="M9" s="19">
        <v>0</v>
      </c>
      <c r="N9" s="17">
        <v>1.3096840095800001E-4</v>
      </c>
      <c r="O9" s="19">
        <v>-8.8599799200892448E-3</v>
      </c>
      <c r="P9" s="17">
        <v>0</v>
      </c>
      <c r="Q9" s="19">
        <v>0</v>
      </c>
      <c r="R9" s="17">
        <v>0</v>
      </c>
      <c r="S9" s="19">
        <v>0</v>
      </c>
    </row>
    <row r="10" spans="1:19" x14ac:dyDescent="0.25">
      <c r="A10" s="3">
        <v>9</v>
      </c>
      <c r="B10" s="23">
        <v>33.011273449667222</v>
      </c>
      <c r="C10" s="18">
        <v>44797.478125000001</v>
      </c>
      <c r="D10" s="23">
        <v>3.0049728059403318</v>
      </c>
      <c r="E10" s="19">
        <v>2</v>
      </c>
      <c r="F10" s="17">
        <v>1</v>
      </c>
      <c r="G10" s="19">
        <v>-0.27518153190612793</v>
      </c>
      <c r="H10" s="17">
        <v>0.86282033052444462</v>
      </c>
      <c r="I10" s="17">
        <f t="shared" si="0"/>
        <v>-4.4029045104980472E-2</v>
      </c>
      <c r="J10" s="17">
        <f t="shared" si="1"/>
        <v>-3.7989155250154928E-2</v>
      </c>
      <c r="K10" s="19">
        <v>0</v>
      </c>
      <c r="L10" s="17">
        <v>2.2609468375199999E-4</v>
      </c>
      <c r="M10" s="19">
        <v>0</v>
      </c>
      <c r="N10" s="17">
        <v>1.9603558703300001E-4</v>
      </c>
      <c r="O10" s="19">
        <v>-1.2304782285355031E-4</v>
      </c>
      <c r="P10" s="17">
        <v>0</v>
      </c>
      <c r="Q10" s="19">
        <v>0</v>
      </c>
      <c r="R10" s="17">
        <v>0</v>
      </c>
      <c r="S10" s="19">
        <v>0</v>
      </c>
    </row>
    <row r="11" spans="1:19" x14ac:dyDescent="0.25">
      <c r="A11" s="3">
        <v>10</v>
      </c>
      <c r="B11" s="23">
        <v>34.018158384381564</v>
      </c>
      <c r="C11" s="18">
        <v>44797.47814814814</v>
      </c>
      <c r="D11" s="23">
        <v>1.0039546670199171</v>
      </c>
      <c r="E11" s="19">
        <v>3</v>
      </c>
      <c r="F11" s="17">
        <v>1</v>
      </c>
      <c r="G11" s="19">
        <v>-0.62515902519226074</v>
      </c>
      <c r="H11" s="17">
        <v>0.83376267227172851</v>
      </c>
      <c r="I11" s="17">
        <f t="shared" si="0"/>
        <v>-0.10002544403076172</v>
      </c>
      <c r="J11" s="17">
        <f t="shared" si="1"/>
        <v>-8.3397481510254098E-2</v>
      </c>
      <c r="K11" s="19">
        <v>0</v>
      </c>
      <c r="L11" s="17">
        <v>4.00430306337E-4</v>
      </c>
      <c r="M11" s="19">
        <v>0</v>
      </c>
      <c r="N11" s="17">
        <v>3.4150853800399999E-4</v>
      </c>
      <c r="O11" s="19">
        <v>-2.6456951163709164E-3</v>
      </c>
      <c r="P11" s="17">
        <v>0</v>
      </c>
      <c r="Q11" s="19">
        <v>0</v>
      </c>
      <c r="R11" s="17">
        <v>0</v>
      </c>
      <c r="S11" s="19">
        <v>0</v>
      </c>
    </row>
    <row r="12" spans="1:19" x14ac:dyDescent="0.25">
      <c r="A12" s="3">
        <v>11</v>
      </c>
      <c r="B12" s="23">
        <v>35.02295409704594</v>
      </c>
      <c r="C12" s="18">
        <v>44797.478159722225</v>
      </c>
      <c r="D12" s="23">
        <v>2.0087503757460321</v>
      </c>
      <c r="E12" s="19">
        <v>3</v>
      </c>
      <c r="F12" s="17">
        <v>1</v>
      </c>
      <c r="G12" s="19">
        <v>-0.62515902519226074</v>
      </c>
      <c r="H12" s="17">
        <v>0.83407035144805908</v>
      </c>
      <c r="I12" s="17">
        <f t="shared" si="0"/>
        <v>-0.10002544403076172</v>
      </c>
      <c r="J12" s="17">
        <f t="shared" si="1"/>
        <v>-8.3428257256485588E-2</v>
      </c>
      <c r="K12" s="19">
        <v>0</v>
      </c>
      <c r="L12" s="17">
        <v>5.7492078792899996E-4</v>
      </c>
      <c r="M12" s="19">
        <v>0</v>
      </c>
      <c r="N12" s="17">
        <v>4.86977055775E-4</v>
      </c>
      <c r="O12" s="19">
        <v>-2.5841593742370605E-3</v>
      </c>
      <c r="P12" s="17">
        <v>0</v>
      </c>
      <c r="Q12" s="19">
        <v>0</v>
      </c>
      <c r="R12" s="17">
        <v>0</v>
      </c>
      <c r="S12" s="19">
        <v>0</v>
      </c>
    </row>
    <row r="13" spans="1:19" x14ac:dyDescent="0.25">
      <c r="A13" s="3">
        <v>12</v>
      </c>
      <c r="B13" s="23">
        <v>36.02798739827648</v>
      </c>
      <c r="C13" s="18">
        <v>44797.478171296294</v>
      </c>
      <c r="D13" s="23">
        <v>3.0137836769765598</v>
      </c>
      <c r="E13" s="19">
        <v>3</v>
      </c>
      <c r="F13" s="17">
        <v>1</v>
      </c>
      <c r="G13" s="19">
        <v>-0.62515902519226074</v>
      </c>
      <c r="H13" s="17">
        <v>0.83437797101974487</v>
      </c>
      <c r="I13" s="17">
        <f t="shared" si="0"/>
        <v>-0.10002544403076172</v>
      </c>
      <c r="J13" s="17">
        <f t="shared" si="1"/>
        <v>-8.3459027040736017E-2</v>
      </c>
      <c r="K13" s="19">
        <v>0</v>
      </c>
      <c r="L13" s="17">
        <v>7.4945387245899998E-4</v>
      </c>
      <c r="M13" s="19">
        <v>0</v>
      </c>
      <c r="N13" s="17">
        <v>6.3251130617699998E-4</v>
      </c>
      <c r="O13" s="19">
        <v>6.1523911426775157E-5</v>
      </c>
      <c r="P13" s="17">
        <v>0</v>
      </c>
      <c r="Q13" s="19">
        <v>0</v>
      </c>
      <c r="R13" s="17">
        <v>0</v>
      </c>
      <c r="S13" s="19">
        <v>0</v>
      </c>
    </row>
    <row r="14" spans="1:19" x14ac:dyDescent="0.25">
      <c r="A14" s="3">
        <v>13</v>
      </c>
      <c r="B14" s="23">
        <v>37.036818786585563</v>
      </c>
      <c r="C14" s="18">
        <v>44797.478182870371</v>
      </c>
      <c r="D14" s="23">
        <v>1.0059388856865641</v>
      </c>
      <c r="E14" s="19">
        <v>4</v>
      </c>
      <c r="F14" s="17">
        <v>1</v>
      </c>
      <c r="G14" s="19">
        <v>-0.93768167495727539</v>
      </c>
      <c r="H14" s="17">
        <v>0.81576205553054815</v>
      </c>
      <c r="I14" s="17">
        <f t="shared" si="0"/>
        <v>-0.15002906799316407</v>
      </c>
      <c r="J14" s="17">
        <f t="shared" si="1"/>
        <v>-0.12238802089543589</v>
      </c>
      <c r="K14" s="19">
        <v>0</v>
      </c>
      <c r="L14" s="17">
        <v>1.009673926866E-3</v>
      </c>
      <c r="M14" s="19">
        <v>0</v>
      </c>
      <c r="N14" s="17">
        <v>8.44845994076E-4</v>
      </c>
      <c r="O14" s="19">
        <v>-3.6916614044457674E-3</v>
      </c>
      <c r="P14" s="17">
        <v>0</v>
      </c>
      <c r="Q14" s="19">
        <v>0</v>
      </c>
      <c r="R14" s="17">
        <v>0</v>
      </c>
      <c r="S14" s="19">
        <v>0</v>
      </c>
    </row>
    <row r="15" spans="1:19" x14ac:dyDescent="0.25">
      <c r="A15" s="3">
        <v>14</v>
      </c>
      <c r="B15" s="23">
        <v>38.039782033647086</v>
      </c>
      <c r="C15" s="18">
        <v>44797.478194444448</v>
      </c>
      <c r="D15" s="23">
        <v>2.008902133106107</v>
      </c>
      <c r="E15" s="19">
        <v>4</v>
      </c>
      <c r="F15" s="17">
        <v>1</v>
      </c>
      <c r="G15" s="19">
        <v>-0.93771582841873169</v>
      </c>
      <c r="H15" s="17">
        <v>0.81606969149589537</v>
      </c>
      <c r="I15" s="17">
        <f t="shared" si="0"/>
        <v>-0.15003453254699706</v>
      </c>
      <c r="J15" s="17">
        <f t="shared" si="1"/>
        <v>-0.12243863468935876</v>
      </c>
      <c r="K15" s="19">
        <v>0</v>
      </c>
      <c r="L15" s="17">
        <v>1.270915190829E-3</v>
      </c>
      <c r="M15" s="19">
        <v>0</v>
      </c>
      <c r="N15" s="17">
        <v>1.0579439841900001E-3</v>
      </c>
      <c r="O15" s="19">
        <v>-3.6301375366747379E-3</v>
      </c>
      <c r="P15" s="17">
        <v>0</v>
      </c>
      <c r="Q15" s="19">
        <v>0</v>
      </c>
      <c r="R15" s="17">
        <v>0</v>
      </c>
      <c r="S15" s="19">
        <v>0</v>
      </c>
    </row>
    <row r="16" spans="1:19" x14ac:dyDescent="0.25">
      <c r="A16" s="3">
        <v>15</v>
      </c>
      <c r="B16" s="23">
        <v>39.045683499754759</v>
      </c>
      <c r="C16" s="18">
        <v>44797.478206018517</v>
      </c>
      <c r="D16" s="23">
        <v>3.014803595275517</v>
      </c>
      <c r="E16" s="19">
        <v>4</v>
      </c>
      <c r="F16" s="17">
        <v>1</v>
      </c>
      <c r="G16" s="19">
        <v>-0.93771582841873169</v>
      </c>
      <c r="H16" s="17">
        <v>0.81668499024391172</v>
      </c>
      <c r="I16" s="17">
        <f t="shared" si="0"/>
        <v>-0.15003453254699706</v>
      </c>
      <c r="J16" s="17">
        <f t="shared" si="1"/>
        <v>-0.12253095074939414</v>
      </c>
      <c r="K16" s="19">
        <v>0</v>
      </c>
      <c r="L16" s="17">
        <v>1.532920644574E-3</v>
      </c>
      <c r="M16" s="19">
        <v>0</v>
      </c>
      <c r="N16" s="17">
        <v>1.2717515051420001E-3</v>
      </c>
      <c r="O16" s="19">
        <v>1.2305975542403758E-4</v>
      </c>
      <c r="P16" s="17">
        <v>0</v>
      </c>
      <c r="Q16" s="19">
        <v>0</v>
      </c>
      <c r="R16" s="17">
        <v>0</v>
      </c>
      <c r="S16" s="19">
        <v>0</v>
      </c>
    </row>
    <row r="17" spans="1:19" x14ac:dyDescent="0.25">
      <c r="A17" s="3">
        <v>16</v>
      </c>
      <c r="B17" s="23">
        <v>40.055437209060869</v>
      </c>
      <c r="C17" s="18">
        <v>44797.478217592594</v>
      </c>
      <c r="D17" s="23">
        <v>1.0068880889044829</v>
      </c>
      <c r="E17" s="19">
        <v>5</v>
      </c>
      <c r="F17" s="17">
        <v>1</v>
      </c>
      <c r="G17" s="19">
        <v>-1.2513201236724854</v>
      </c>
      <c r="H17" s="17">
        <v>0.8014535880470276</v>
      </c>
      <c r="I17" s="17">
        <f t="shared" si="0"/>
        <v>-0.20021121978759765</v>
      </c>
      <c r="J17" s="17">
        <f t="shared" si="1"/>
        <v>-0.1604600004660422</v>
      </c>
      <c r="K17" s="19">
        <v>0</v>
      </c>
      <c r="L17" s="17">
        <v>1.8747785451430001E-3</v>
      </c>
      <c r="M17" s="19">
        <v>0</v>
      </c>
      <c r="N17" s="17">
        <v>1.546374625296E-3</v>
      </c>
      <c r="O17" s="19">
        <v>-3.0763864051550627E-3</v>
      </c>
      <c r="P17" s="17">
        <v>0</v>
      </c>
      <c r="Q17" s="19">
        <v>0</v>
      </c>
      <c r="R17" s="17">
        <v>0</v>
      </c>
      <c r="S17" s="19">
        <v>0</v>
      </c>
    </row>
    <row r="18" spans="1:19" x14ac:dyDescent="0.25">
      <c r="A18" s="3">
        <v>17</v>
      </c>
      <c r="B18" s="23">
        <v>41.058442153728286</v>
      </c>
      <c r="C18" s="18">
        <v>44797.478229166663</v>
      </c>
      <c r="D18" s="23">
        <v>2.0098930375101589</v>
      </c>
      <c r="E18" s="19">
        <v>5</v>
      </c>
      <c r="F18" s="17">
        <v>1</v>
      </c>
      <c r="G18" s="19">
        <v>-1.2509503364562988</v>
      </c>
      <c r="H18" s="17">
        <v>0.80145341054916386</v>
      </c>
      <c r="I18" s="17">
        <f t="shared" si="0"/>
        <v>-0.20015205383300783</v>
      </c>
      <c r="J18" s="17">
        <f t="shared" si="1"/>
        <v>-0.16041254617288397</v>
      </c>
      <c r="K18" s="19">
        <v>0</v>
      </c>
      <c r="L18" s="17">
        <v>2.2233240219190001E-3</v>
      </c>
      <c r="M18" s="19">
        <v>0</v>
      </c>
      <c r="N18" s="17">
        <v>1.8255870736329999E-3</v>
      </c>
      <c r="O18" s="19">
        <v>-3.0763864051550627E-3</v>
      </c>
      <c r="P18" s="17">
        <v>0</v>
      </c>
      <c r="Q18" s="19">
        <v>0</v>
      </c>
      <c r="R18" s="17">
        <v>0</v>
      </c>
      <c r="S18" s="19">
        <v>0</v>
      </c>
    </row>
    <row r="19" spans="1:19" x14ac:dyDescent="0.25">
      <c r="A19" s="3">
        <v>18</v>
      </c>
      <c r="B19" s="23">
        <v>42.063332298763747</v>
      </c>
      <c r="C19" s="18">
        <v>44797.47824074074</v>
      </c>
      <c r="D19" s="23">
        <v>3.0147831786073591</v>
      </c>
      <c r="E19" s="19">
        <v>5</v>
      </c>
      <c r="F19" s="17">
        <v>1</v>
      </c>
      <c r="G19" s="19">
        <v>-1.2513201236724854</v>
      </c>
      <c r="H19" s="17">
        <v>0.80206888679504396</v>
      </c>
      <c r="I19" s="17">
        <f t="shared" si="0"/>
        <v>-0.20021121978759765</v>
      </c>
      <c r="J19" s="17">
        <f t="shared" si="1"/>
        <v>-0.16058319017891631</v>
      </c>
      <c r="K19" s="19">
        <v>0</v>
      </c>
      <c r="L19" s="17">
        <v>2.572513514804E-3</v>
      </c>
      <c r="M19" s="19">
        <v>0</v>
      </c>
      <c r="N19" s="17">
        <v>2.1054363485469999E-3</v>
      </c>
      <c r="O19" s="19">
        <v>6.1523911426775157E-5</v>
      </c>
      <c r="P19" s="17">
        <v>0</v>
      </c>
      <c r="Q19" s="19">
        <v>0</v>
      </c>
      <c r="R19" s="17">
        <v>0</v>
      </c>
      <c r="S19" s="19">
        <v>0</v>
      </c>
    </row>
    <row r="20" spans="1:19" x14ac:dyDescent="0.25">
      <c r="A20" s="3">
        <v>19</v>
      </c>
      <c r="B20" s="23">
        <v>43.068253160813576</v>
      </c>
      <c r="C20" s="18">
        <v>44797.478252314817</v>
      </c>
      <c r="D20" s="23">
        <v>1.001826306876564</v>
      </c>
      <c r="E20" s="19">
        <v>6</v>
      </c>
      <c r="F20" s="17">
        <v>1</v>
      </c>
      <c r="G20" s="19">
        <v>-1.5631206035614014</v>
      </c>
      <c r="H20" s="17">
        <v>0.78991305290222169</v>
      </c>
      <c r="I20" s="17">
        <f t="shared" si="0"/>
        <v>-0.25009929656982421</v>
      </c>
      <c r="J20" s="17">
        <f t="shared" si="1"/>
        <v>-0.19755669888216798</v>
      </c>
      <c r="K20" s="19">
        <v>0</v>
      </c>
      <c r="L20" s="17">
        <v>3.0085528473730002E-3</v>
      </c>
      <c r="M20" s="19">
        <v>0</v>
      </c>
      <c r="N20" s="17">
        <v>2.449424746496E-3</v>
      </c>
      <c r="O20" s="19">
        <v>-1.845717488322407E-4</v>
      </c>
      <c r="P20" s="17">
        <v>0</v>
      </c>
      <c r="Q20" s="19">
        <v>0</v>
      </c>
      <c r="R20" s="17">
        <v>0</v>
      </c>
      <c r="S20" s="19">
        <v>0</v>
      </c>
    </row>
    <row r="21" spans="1:19" x14ac:dyDescent="0.25">
      <c r="A21" s="3">
        <v>20</v>
      </c>
      <c r="B21" s="23">
        <v>44.072208357708789</v>
      </c>
      <c r="C21" s="18">
        <v>44797.478263888886</v>
      </c>
      <c r="D21" s="23">
        <v>2.0057815001915431</v>
      </c>
      <c r="E21" s="19">
        <v>6</v>
      </c>
      <c r="F21" s="17">
        <v>1</v>
      </c>
      <c r="G21" s="19">
        <v>-1.5634903907775879</v>
      </c>
      <c r="H21" s="17">
        <v>0.78991323040008543</v>
      </c>
      <c r="I21" s="17">
        <f t="shared" si="0"/>
        <v>-0.25015846252441404</v>
      </c>
      <c r="J21" s="17">
        <f t="shared" si="1"/>
        <v>-0.19760347924457861</v>
      </c>
      <c r="K21" s="19">
        <v>0</v>
      </c>
      <c r="L21" s="17">
        <v>3.4444710590179999E-3</v>
      </c>
      <c r="M21" s="19">
        <v>0</v>
      </c>
      <c r="N21" s="17">
        <v>2.7934352670560001E-3</v>
      </c>
      <c r="O21" s="19">
        <v>-1.845717488322407E-4</v>
      </c>
      <c r="P21" s="17">
        <v>0</v>
      </c>
      <c r="Q21" s="19">
        <v>0</v>
      </c>
      <c r="R21" s="17">
        <v>0</v>
      </c>
      <c r="S21" s="19">
        <v>0</v>
      </c>
    </row>
    <row r="22" spans="1:19" x14ac:dyDescent="0.25">
      <c r="A22" s="3">
        <v>21</v>
      </c>
      <c r="B22" s="23">
        <v>45.074195263702464</v>
      </c>
      <c r="C22" s="18">
        <v>44797.478275462963</v>
      </c>
      <c r="D22" s="23">
        <v>3.0077684097654589</v>
      </c>
      <c r="E22" s="19">
        <v>6</v>
      </c>
      <c r="F22" s="17">
        <v>1</v>
      </c>
      <c r="G22" s="19">
        <v>-1.5634903907775879</v>
      </c>
      <c r="H22" s="17">
        <v>0.79022084997177122</v>
      </c>
      <c r="I22" s="17">
        <f t="shared" si="0"/>
        <v>-0.25015846252441404</v>
      </c>
      <c r="J22" s="17">
        <f t="shared" si="1"/>
        <v>-0.19768043288367393</v>
      </c>
      <c r="K22" s="19">
        <v>0</v>
      </c>
      <c r="L22" s="17">
        <v>3.8795307383789998E-3</v>
      </c>
      <c r="M22" s="19">
        <v>0</v>
      </c>
      <c r="N22" s="17">
        <v>3.136951209283E-3</v>
      </c>
      <c r="O22" s="19">
        <v>6.1523911426775157E-5</v>
      </c>
      <c r="P22" s="17">
        <v>0</v>
      </c>
      <c r="Q22" s="19">
        <v>0</v>
      </c>
      <c r="R22" s="17">
        <v>0</v>
      </c>
      <c r="S22" s="19">
        <v>0</v>
      </c>
    </row>
    <row r="23" spans="1:19" x14ac:dyDescent="0.25">
      <c r="A23" s="3">
        <v>22</v>
      </c>
      <c r="B23" s="23">
        <v>46.083029125598344</v>
      </c>
      <c r="C23" s="18">
        <v>44797.47828703704</v>
      </c>
      <c r="D23" s="23">
        <v>1.0056123306994711</v>
      </c>
      <c r="E23" s="19">
        <v>7</v>
      </c>
      <c r="F23" s="17">
        <v>1</v>
      </c>
      <c r="G23" s="19">
        <v>-1.8760305643081665</v>
      </c>
      <c r="H23" s="17">
        <v>0.77960352859497073</v>
      </c>
      <c r="I23" s="17">
        <f t="shared" si="0"/>
        <v>-0.30016489028930665</v>
      </c>
      <c r="J23" s="17">
        <f t="shared" si="1"/>
        <v>-0.23400960762986572</v>
      </c>
      <c r="K23" s="19">
        <v>0</v>
      </c>
      <c r="L23" s="17">
        <v>4.4012873245719997E-3</v>
      </c>
      <c r="M23" s="19">
        <v>0</v>
      </c>
      <c r="N23" s="17">
        <v>3.5433438243909999E-3</v>
      </c>
      <c r="O23" s="19">
        <v>-2.2149919532239437E-3</v>
      </c>
      <c r="P23" s="17">
        <v>0</v>
      </c>
      <c r="Q23" s="19">
        <v>0</v>
      </c>
      <c r="R23" s="17">
        <v>0</v>
      </c>
      <c r="S23" s="19">
        <v>0</v>
      </c>
    </row>
    <row r="24" spans="1:19" x14ac:dyDescent="0.25">
      <c r="A24" s="3">
        <v>23</v>
      </c>
      <c r="B24" s="23">
        <v>47.086947462863975</v>
      </c>
      <c r="C24" s="18">
        <v>44797.478298611109</v>
      </c>
      <c r="D24" s="23">
        <v>2.0095306683231242</v>
      </c>
      <c r="E24" s="19">
        <v>7</v>
      </c>
      <c r="F24" s="17">
        <v>1</v>
      </c>
      <c r="G24" s="19">
        <v>-1.8760305643081665</v>
      </c>
      <c r="H24" s="17">
        <v>0.77991114816665652</v>
      </c>
      <c r="I24" s="17">
        <f t="shared" si="0"/>
        <v>-0.30016489028930665</v>
      </c>
      <c r="J24" s="17">
        <f t="shared" si="1"/>
        <v>-0.23410194422485164</v>
      </c>
      <c r="K24" s="19">
        <v>0</v>
      </c>
      <c r="L24" s="17">
        <v>4.924387683726E-3</v>
      </c>
      <c r="M24" s="19">
        <v>0</v>
      </c>
      <c r="N24" s="17">
        <v>3.950745370756E-3</v>
      </c>
      <c r="O24" s="19">
        <v>-2.1534680854529142E-3</v>
      </c>
      <c r="P24" s="17">
        <v>0</v>
      </c>
      <c r="Q24" s="19">
        <v>0</v>
      </c>
      <c r="R24" s="17">
        <v>0</v>
      </c>
      <c r="S24" s="19">
        <v>0</v>
      </c>
    </row>
    <row r="25" spans="1:19" x14ac:dyDescent="0.25">
      <c r="A25" s="3">
        <v>24</v>
      </c>
      <c r="B25" s="23">
        <v>48.082140621386202</v>
      </c>
      <c r="C25" s="18">
        <v>44797.478310185186</v>
      </c>
      <c r="D25" s="23">
        <v>3.0047238229070818</v>
      </c>
      <c r="E25" s="19">
        <v>7</v>
      </c>
      <c r="F25" s="17">
        <v>1</v>
      </c>
      <c r="G25" s="19">
        <v>-1.8760305643081665</v>
      </c>
      <c r="H25" s="17">
        <v>0.78021882734298709</v>
      </c>
      <c r="I25" s="17">
        <f t="shared" si="0"/>
        <v>-0.30016489028930665</v>
      </c>
      <c r="J25" s="17">
        <f t="shared" si="1"/>
        <v>-0.23419429871105921</v>
      </c>
      <c r="K25" s="19">
        <v>0</v>
      </c>
      <c r="L25" s="17">
        <v>5.442943877026E-3</v>
      </c>
      <c r="M25" s="19">
        <v>0</v>
      </c>
      <c r="N25" s="17">
        <v>4.3547935511550001E-3</v>
      </c>
      <c r="O25" s="19">
        <v>1.2305975542403758E-4</v>
      </c>
      <c r="P25" s="17">
        <v>0</v>
      </c>
      <c r="Q25" s="19">
        <v>0</v>
      </c>
      <c r="R25" s="17">
        <v>0</v>
      </c>
      <c r="S25" s="19">
        <v>0</v>
      </c>
    </row>
    <row r="26" spans="1:19" x14ac:dyDescent="0.25">
      <c r="A26" s="3">
        <v>25</v>
      </c>
      <c r="B26" s="23">
        <v>49.086105641381828</v>
      </c>
      <c r="C26" s="18">
        <v>44797.478321759256</v>
      </c>
      <c r="D26" s="23">
        <v>1.0007565824475231</v>
      </c>
      <c r="E26" s="19">
        <v>8</v>
      </c>
      <c r="F26" s="17">
        <v>1</v>
      </c>
      <c r="G26" s="19">
        <v>-2.1885707378387451</v>
      </c>
      <c r="H26" s="17">
        <v>0.76990912553787227</v>
      </c>
      <c r="I26" s="17">
        <f t="shared" si="0"/>
        <v>-0.35017131805419921</v>
      </c>
      <c r="J26" s="17">
        <f t="shared" si="1"/>
        <v>-0.26960009327155265</v>
      </c>
      <c r="K26" s="19">
        <v>0</v>
      </c>
      <c r="L26" s="17">
        <v>6.0529390725699997E-3</v>
      </c>
      <c r="M26" s="19">
        <v>0</v>
      </c>
      <c r="N26" s="17">
        <v>4.8238578316090004E-3</v>
      </c>
      <c r="O26" s="19">
        <v>-1.2305975542403758E-4</v>
      </c>
      <c r="P26" s="17">
        <v>0</v>
      </c>
      <c r="Q26" s="19">
        <v>0</v>
      </c>
      <c r="R26" s="17">
        <v>0</v>
      </c>
      <c r="S26" s="19">
        <v>0</v>
      </c>
    </row>
    <row r="27" spans="1:19" x14ac:dyDescent="0.25">
      <c r="A27" s="3">
        <v>26</v>
      </c>
      <c r="B27" s="23">
        <v>50.092992418128894</v>
      </c>
      <c r="C27" s="18">
        <v>44797.478333333333</v>
      </c>
      <c r="D27" s="23">
        <v>2.0076433631328521</v>
      </c>
      <c r="E27" s="19">
        <v>8</v>
      </c>
      <c r="F27" s="17">
        <v>1</v>
      </c>
      <c r="G27" s="19">
        <v>-2.1885707378387451</v>
      </c>
      <c r="H27" s="17">
        <v>0.77052442428588863</v>
      </c>
      <c r="I27" s="17">
        <f t="shared" si="0"/>
        <v>-0.35017131805419921</v>
      </c>
      <c r="J27" s="17">
        <f t="shared" si="1"/>
        <v>-0.26981555324514267</v>
      </c>
      <c r="K27" s="19">
        <v>0</v>
      </c>
      <c r="L27" s="17">
        <v>6.6650217393479996E-3</v>
      </c>
      <c r="M27" s="19">
        <v>0</v>
      </c>
      <c r="N27" s="17">
        <v>5.2946803417799997E-3</v>
      </c>
      <c r="O27" s="19">
        <v>0</v>
      </c>
      <c r="P27" s="17">
        <v>0</v>
      </c>
      <c r="Q27" s="19">
        <v>0</v>
      </c>
      <c r="R27" s="17">
        <v>0</v>
      </c>
      <c r="S27" s="19">
        <v>0</v>
      </c>
    </row>
    <row r="28" spans="1:19" x14ac:dyDescent="0.25">
      <c r="A28" s="3">
        <v>27</v>
      </c>
      <c r="B28" s="23">
        <v>51.101649294513997</v>
      </c>
      <c r="C28" s="18">
        <v>44797.478344907409</v>
      </c>
      <c r="D28" s="23">
        <v>3.0163002355796942</v>
      </c>
      <c r="E28" s="19">
        <v>8</v>
      </c>
      <c r="F28" s="17">
        <v>1</v>
      </c>
      <c r="G28" s="19">
        <v>-2.1882007122039795</v>
      </c>
      <c r="H28" s="17">
        <v>0.77052424667358399</v>
      </c>
      <c r="I28" s="17">
        <f t="shared" si="0"/>
        <v>-0.35011211395263669</v>
      </c>
      <c r="J28" s="17">
        <f t="shared" si="1"/>
        <v>-0.26976987285465137</v>
      </c>
      <c r="K28" s="19">
        <v>0</v>
      </c>
      <c r="L28" s="17">
        <v>7.2781764695009996E-3</v>
      </c>
      <c r="M28" s="19">
        <v>0</v>
      </c>
      <c r="N28" s="17">
        <v>5.7665693703810002E-3</v>
      </c>
      <c r="O28" s="19">
        <v>1.2305975542403758E-4</v>
      </c>
      <c r="P28" s="17">
        <v>0</v>
      </c>
      <c r="Q28" s="19">
        <v>0</v>
      </c>
      <c r="R28" s="17">
        <v>0</v>
      </c>
      <c r="S28" s="19">
        <v>0</v>
      </c>
    </row>
    <row r="29" spans="1:19" x14ac:dyDescent="0.25">
      <c r="A29" s="3">
        <v>28</v>
      </c>
      <c r="B29" s="23">
        <v>52.108618756153533</v>
      </c>
      <c r="C29" s="18">
        <v>44797.478356481479</v>
      </c>
      <c r="D29" s="23">
        <v>1.0041383586754551</v>
      </c>
      <c r="E29" s="19">
        <v>9</v>
      </c>
      <c r="F29" s="17">
        <v>1</v>
      </c>
      <c r="G29" s="19">
        <v>-2.5011107921600342</v>
      </c>
      <c r="H29" s="17">
        <v>0.76144526031494142</v>
      </c>
      <c r="I29" s="17">
        <f t="shared" si="0"/>
        <v>-0.40017772674560548</v>
      </c>
      <c r="J29" s="17">
        <f t="shared" si="1"/>
        <v>-0.30471343331404904</v>
      </c>
      <c r="K29" s="19">
        <v>0</v>
      </c>
      <c r="L29" s="17">
        <v>7.9734373049400002E-3</v>
      </c>
      <c r="M29" s="19">
        <v>0</v>
      </c>
      <c r="N29" s="17">
        <v>6.2951408414659996E-3</v>
      </c>
      <c r="O29" s="19">
        <v>-1.9073605071753263E-3</v>
      </c>
      <c r="P29" s="17">
        <v>0</v>
      </c>
      <c r="Q29" s="19">
        <v>0</v>
      </c>
      <c r="R29" s="17">
        <v>0</v>
      </c>
      <c r="S29" s="19">
        <v>0</v>
      </c>
    </row>
    <row r="30" spans="1:19" x14ac:dyDescent="0.25">
      <c r="A30" s="3">
        <v>29</v>
      </c>
      <c r="B30" s="23">
        <v>53.116466626806677</v>
      </c>
      <c r="C30" s="18">
        <v>44797.478368055556</v>
      </c>
      <c r="D30" s="23">
        <v>2.0119862293285982</v>
      </c>
      <c r="E30" s="19">
        <v>9</v>
      </c>
      <c r="F30" s="17">
        <v>1</v>
      </c>
      <c r="G30" s="19">
        <v>-2.5011107921600342</v>
      </c>
      <c r="H30" s="17">
        <v>0.76175293949127199</v>
      </c>
      <c r="I30" s="17">
        <f t="shared" si="0"/>
        <v>-0.40017772674560548</v>
      </c>
      <c r="J30" s="17">
        <f t="shared" si="1"/>
        <v>-0.30483655966739998</v>
      </c>
      <c r="K30" s="19">
        <v>0</v>
      </c>
      <c r="L30" s="17">
        <v>8.6735859076660007E-3</v>
      </c>
      <c r="M30" s="19">
        <v>0</v>
      </c>
      <c r="N30" s="17">
        <v>6.8275310126990002E-3</v>
      </c>
      <c r="O30" s="19">
        <v>-1.8458247650414705E-3</v>
      </c>
      <c r="P30" s="17">
        <v>0</v>
      </c>
      <c r="Q30" s="19">
        <v>0</v>
      </c>
      <c r="R30" s="17">
        <v>0</v>
      </c>
      <c r="S30" s="19">
        <v>0</v>
      </c>
    </row>
    <row r="31" spans="1:19" x14ac:dyDescent="0.25">
      <c r="A31" s="3">
        <v>30</v>
      </c>
      <c r="B31" s="23">
        <v>54.105852495247234</v>
      </c>
      <c r="C31" s="18">
        <v>44797.478379629632</v>
      </c>
      <c r="D31" s="23">
        <v>3.0013720977691531</v>
      </c>
      <c r="E31" s="19">
        <v>9</v>
      </c>
      <c r="F31" s="17">
        <v>1</v>
      </c>
      <c r="G31" s="19">
        <v>-2.5011107921600342</v>
      </c>
      <c r="H31" s="17">
        <v>0.76175293949127199</v>
      </c>
      <c r="I31" s="17">
        <f t="shared" si="0"/>
        <v>-0.40017772674560548</v>
      </c>
      <c r="J31" s="17">
        <f t="shared" si="1"/>
        <v>-0.30483655966739998</v>
      </c>
      <c r="K31" s="19">
        <v>0</v>
      </c>
      <c r="L31" s="17">
        <v>9.3609293761509997E-3</v>
      </c>
      <c r="M31" s="19">
        <v>0</v>
      </c>
      <c r="N31" s="17">
        <v>7.3503554056739999E-3</v>
      </c>
      <c r="O31" s="19">
        <v>6.1535836721304804E-5</v>
      </c>
      <c r="P31" s="17">
        <v>0</v>
      </c>
      <c r="Q31" s="19">
        <v>0</v>
      </c>
      <c r="R31" s="17">
        <v>0</v>
      </c>
      <c r="S31" s="19">
        <v>0</v>
      </c>
    </row>
    <row r="32" spans="1:19" x14ac:dyDescent="0.25">
      <c r="A32" s="3">
        <v>31</v>
      </c>
      <c r="B32" s="23">
        <v>55.115581859647484</v>
      </c>
      <c r="C32" s="18">
        <v>44797.478391203702</v>
      </c>
      <c r="D32" s="23">
        <v>1.006518291438576</v>
      </c>
      <c r="E32" s="19">
        <v>10</v>
      </c>
      <c r="F32" s="17">
        <v>1</v>
      </c>
      <c r="G32" s="19">
        <v>-2.8136510848999023</v>
      </c>
      <c r="H32" s="17">
        <v>0.75267377563476567</v>
      </c>
      <c r="I32" s="17">
        <f t="shared" si="0"/>
        <v>-0.45018417358398438</v>
      </c>
      <c r="J32" s="17">
        <f t="shared" si="1"/>
        <v>-0.33884182166247429</v>
      </c>
      <c r="K32" s="19">
        <v>0</v>
      </c>
      <c r="L32" s="17">
        <v>1.0147532269977E-2</v>
      </c>
      <c r="M32" s="19">
        <v>0</v>
      </c>
      <c r="N32" s="17">
        <v>7.9417292912990003E-3</v>
      </c>
      <c r="O32" s="19">
        <v>-1.7843007808551192E-3</v>
      </c>
      <c r="P32" s="17">
        <v>0</v>
      </c>
      <c r="Q32" s="19">
        <v>0</v>
      </c>
      <c r="R32" s="17">
        <v>0</v>
      </c>
      <c r="S32" s="19">
        <v>0</v>
      </c>
    </row>
    <row r="33" spans="1:19" x14ac:dyDescent="0.25">
      <c r="A33" s="3">
        <v>32</v>
      </c>
      <c r="B33" s="23">
        <v>56.119505599135017</v>
      </c>
      <c r="C33" s="18">
        <v>44797.478402777779</v>
      </c>
      <c r="D33" s="23">
        <v>2.0104420309261002</v>
      </c>
      <c r="E33" s="19">
        <v>10</v>
      </c>
      <c r="F33" s="17">
        <v>1</v>
      </c>
      <c r="G33" s="19">
        <v>-2.8136510848999023</v>
      </c>
      <c r="H33" s="17">
        <v>0.75328907438278203</v>
      </c>
      <c r="I33" s="17">
        <f t="shared" si="0"/>
        <v>-0.45018417358398438</v>
      </c>
      <c r="J33" s="17">
        <f t="shared" si="1"/>
        <v>-0.33911881942085725</v>
      </c>
      <c r="K33" s="19">
        <v>0</v>
      </c>
      <c r="L33" s="17">
        <v>1.0932149338382E-2</v>
      </c>
      <c r="M33" s="19">
        <v>0</v>
      </c>
      <c r="N33" s="17">
        <v>8.531618701578E-3</v>
      </c>
      <c r="O33" s="19">
        <v>-1.6612410545349121E-3</v>
      </c>
      <c r="P33" s="17">
        <v>0</v>
      </c>
      <c r="Q33" s="19">
        <v>0</v>
      </c>
      <c r="R33" s="17">
        <v>0</v>
      </c>
      <c r="S33" s="19">
        <v>0</v>
      </c>
    </row>
    <row r="34" spans="1:19" x14ac:dyDescent="0.25">
      <c r="A34" s="3">
        <v>33</v>
      </c>
      <c r="B34" s="23">
        <v>57.122431937875696</v>
      </c>
      <c r="C34" s="18">
        <v>44797.478414351855</v>
      </c>
      <c r="D34" s="23">
        <v>3.0133683660865489</v>
      </c>
      <c r="E34" s="19">
        <v>10</v>
      </c>
      <c r="F34" s="17">
        <v>1</v>
      </c>
      <c r="G34" s="19">
        <v>-2.8132810592651367</v>
      </c>
      <c r="H34" s="17">
        <v>0.75390419551849364</v>
      </c>
      <c r="I34" s="17">
        <f t="shared" si="0"/>
        <v>-0.45012496948242187</v>
      </c>
      <c r="J34" s="17">
        <f t="shared" si="1"/>
        <v>-0.33935110300043175</v>
      </c>
      <c r="K34" s="19">
        <v>0</v>
      </c>
      <c r="L34" s="17">
        <v>1.1715984551259001E-2</v>
      </c>
      <c r="M34" s="19">
        <v>0</v>
      </c>
      <c r="N34" s="17">
        <v>9.1211048376050007E-3</v>
      </c>
      <c r="O34" s="19">
        <v>1.2305975542403758E-4</v>
      </c>
      <c r="P34" s="17">
        <v>0</v>
      </c>
      <c r="Q34" s="19">
        <v>0</v>
      </c>
      <c r="R34" s="17">
        <v>0</v>
      </c>
      <c r="S34" s="19">
        <v>0</v>
      </c>
    </row>
    <row r="35" spans="1:19" x14ac:dyDescent="0.25">
      <c r="A35" s="3">
        <v>34</v>
      </c>
      <c r="B35" s="23">
        <v>58.128391804118003</v>
      </c>
      <c r="C35" s="18">
        <v>44797.478425925925</v>
      </c>
      <c r="D35" s="23">
        <v>1.0031116851824671</v>
      </c>
      <c r="E35" s="19">
        <v>11</v>
      </c>
      <c r="F35" s="17">
        <v>1</v>
      </c>
      <c r="G35" s="19">
        <v>-3.1258213520050049</v>
      </c>
      <c r="H35" s="17">
        <v>0.74513271083831789</v>
      </c>
      <c r="I35" s="17">
        <f t="shared" si="0"/>
        <v>-0.50013141632080083</v>
      </c>
      <c r="J35" s="17">
        <f t="shared" si="1"/>
        <v>-0.37266427801852564</v>
      </c>
      <c r="K35" s="19">
        <v>0</v>
      </c>
      <c r="L35" s="17">
        <v>1.2585568431273999E-2</v>
      </c>
      <c r="M35" s="19">
        <v>0</v>
      </c>
      <c r="N35" s="17">
        <v>9.7679319988380007E-3</v>
      </c>
      <c r="O35" s="19">
        <v>-1.7227649223059416E-3</v>
      </c>
      <c r="P35" s="17">
        <v>0</v>
      </c>
      <c r="Q35" s="19">
        <v>0</v>
      </c>
      <c r="R35" s="17">
        <v>0</v>
      </c>
      <c r="S35" s="19">
        <v>0</v>
      </c>
    </row>
    <row r="36" spans="1:19" x14ac:dyDescent="0.25">
      <c r="A36" s="3">
        <v>35</v>
      </c>
      <c r="B36" s="23">
        <v>59.134241478853319</v>
      </c>
      <c r="C36" s="18">
        <v>44797.478437500002</v>
      </c>
      <c r="D36" s="23">
        <v>2.0089613638560602</v>
      </c>
      <c r="E36" s="19">
        <v>11</v>
      </c>
      <c r="F36" s="17">
        <v>1</v>
      </c>
      <c r="G36" s="19">
        <v>-3.1258213520050049</v>
      </c>
      <c r="H36" s="17">
        <v>0.74513271083831789</v>
      </c>
      <c r="I36" s="17">
        <f t="shared" si="0"/>
        <v>-0.50013141632080083</v>
      </c>
      <c r="J36" s="17">
        <f t="shared" si="1"/>
        <v>-0.37266427801852564</v>
      </c>
      <c r="K36" s="19">
        <v>0</v>
      </c>
      <c r="L36" s="17">
        <v>1.3458969936053999E-2</v>
      </c>
      <c r="M36" s="19">
        <v>0</v>
      </c>
      <c r="N36" s="17">
        <v>1.0417463798151999E-2</v>
      </c>
      <c r="O36" s="19">
        <v>-1.7227649223059416E-3</v>
      </c>
      <c r="P36" s="17">
        <v>0</v>
      </c>
      <c r="Q36" s="19">
        <v>0</v>
      </c>
      <c r="R36" s="17">
        <v>0</v>
      </c>
      <c r="S36" s="19">
        <v>0</v>
      </c>
    </row>
    <row r="37" spans="1:19" x14ac:dyDescent="0.25">
      <c r="A37" s="3">
        <v>36</v>
      </c>
      <c r="B37" s="23">
        <v>60.140131874147457</v>
      </c>
      <c r="C37" s="18">
        <v>44797.478449074071</v>
      </c>
      <c r="D37" s="23">
        <v>3.0148517552119318</v>
      </c>
      <c r="E37" s="19">
        <v>11</v>
      </c>
      <c r="F37" s="17">
        <v>1</v>
      </c>
      <c r="G37" s="19">
        <v>-3.1258213520050049</v>
      </c>
      <c r="H37" s="17">
        <v>0.74574794998168947</v>
      </c>
      <c r="I37" s="17">
        <f t="shared" si="0"/>
        <v>-0.50013141632080083</v>
      </c>
      <c r="J37" s="17">
        <f t="shared" si="1"/>
        <v>-0.3729719784426761</v>
      </c>
      <c r="K37" s="19">
        <v>0</v>
      </c>
      <c r="L37" s="17">
        <v>1.4332411921299E-2</v>
      </c>
      <c r="M37" s="19">
        <v>0</v>
      </c>
      <c r="N37" s="17">
        <v>1.1067230221927E-2</v>
      </c>
      <c r="O37" s="19">
        <v>1.8458366685081273E-4</v>
      </c>
      <c r="P37" s="17">
        <v>0</v>
      </c>
      <c r="Q37" s="19">
        <v>0</v>
      </c>
      <c r="R37" s="17">
        <v>0</v>
      </c>
      <c r="S37" s="19">
        <v>0</v>
      </c>
    </row>
    <row r="38" spans="1:19" x14ac:dyDescent="0.25">
      <c r="A38" s="3">
        <v>37</v>
      </c>
      <c r="B38" s="23">
        <v>61.147024304807189</v>
      </c>
      <c r="C38" s="18">
        <v>44797.478460648141</v>
      </c>
      <c r="D38" s="23">
        <v>1.0036690502701291</v>
      </c>
      <c r="E38" s="19">
        <v>12</v>
      </c>
      <c r="F38" s="17">
        <v>1</v>
      </c>
      <c r="G38" s="19">
        <v>-3.4391012191772461</v>
      </c>
      <c r="H38" s="17">
        <v>0.73697682029724121</v>
      </c>
      <c r="I38" s="17">
        <f t="shared" si="0"/>
        <v>-0.55025619506835932</v>
      </c>
      <c r="J38" s="17">
        <f t="shared" si="1"/>
        <v>-0.40552606099033794</v>
      </c>
      <c r="K38" s="19">
        <v>0</v>
      </c>
      <c r="L38" s="17">
        <v>1.5291139505902E-2</v>
      </c>
      <c r="M38" s="19">
        <v>0</v>
      </c>
      <c r="N38" s="17">
        <v>1.1772703988534999E-2</v>
      </c>
      <c r="O38" s="19">
        <v>-1.7843007808551192E-3</v>
      </c>
      <c r="P38" s="17">
        <v>0</v>
      </c>
      <c r="Q38" s="19">
        <v>0</v>
      </c>
      <c r="R38" s="17">
        <v>0</v>
      </c>
      <c r="S38" s="19">
        <v>0</v>
      </c>
    </row>
    <row r="39" spans="1:19" x14ac:dyDescent="0.25">
      <c r="A39" s="3">
        <v>38</v>
      </c>
      <c r="B39" s="23">
        <v>62.150963818109567</v>
      </c>
      <c r="C39" s="18">
        <v>44797.478472222225</v>
      </c>
      <c r="D39" s="23">
        <v>2.0076085635725049</v>
      </c>
      <c r="E39" s="19">
        <v>12</v>
      </c>
      <c r="F39" s="17">
        <v>1</v>
      </c>
      <c r="G39" s="19">
        <v>-3.4394710063934326</v>
      </c>
      <c r="H39" s="17">
        <v>0.73728467697143552</v>
      </c>
      <c r="I39" s="17">
        <f t="shared" si="0"/>
        <v>-0.5503153610229492</v>
      </c>
      <c r="J39" s="17">
        <f t="shared" si="1"/>
        <v>-0.40573908318422403</v>
      </c>
      <c r="K39" s="19">
        <v>0</v>
      </c>
      <c r="L39" s="17">
        <v>1.6250154168871999E-2</v>
      </c>
      <c r="M39" s="19">
        <v>0</v>
      </c>
      <c r="N39" s="17">
        <v>1.2478302465612E-2</v>
      </c>
      <c r="O39" s="19">
        <v>-1.7227649223059416E-3</v>
      </c>
      <c r="P39" s="17">
        <v>0</v>
      </c>
      <c r="Q39" s="19">
        <v>0</v>
      </c>
      <c r="R39" s="17">
        <v>0</v>
      </c>
      <c r="S39" s="19">
        <v>0</v>
      </c>
    </row>
    <row r="40" spans="1:19" x14ac:dyDescent="0.25">
      <c r="A40" s="3">
        <v>39</v>
      </c>
      <c r="B40" s="23">
        <v>63.153950944287907</v>
      </c>
      <c r="C40" s="18">
        <v>44797.478483796294</v>
      </c>
      <c r="D40" s="23">
        <v>3.0105956897508519</v>
      </c>
      <c r="E40" s="19">
        <v>12</v>
      </c>
      <c r="F40" s="17">
        <v>1</v>
      </c>
      <c r="G40" s="19">
        <v>-3.4387311935424805</v>
      </c>
      <c r="H40" s="17">
        <v>0.73759194143295292</v>
      </c>
      <c r="I40" s="17">
        <f t="shared" si="0"/>
        <v>-0.55019699096679686</v>
      </c>
      <c r="J40" s="17">
        <f t="shared" si="1"/>
        <v>-0.40582086673776857</v>
      </c>
      <c r="K40" s="19">
        <v>0</v>
      </c>
      <c r="L40" s="17">
        <v>1.7208260625855998E-2</v>
      </c>
      <c r="M40" s="19">
        <v>0</v>
      </c>
      <c r="N40" s="17">
        <v>1.3183405860875999E-2</v>
      </c>
      <c r="O40" s="19">
        <v>1.2305975542403758E-4</v>
      </c>
      <c r="P40" s="17">
        <v>0</v>
      </c>
      <c r="Q40" s="19">
        <v>0</v>
      </c>
      <c r="R40" s="17">
        <v>0</v>
      </c>
      <c r="S40" s="19">
        <v>0</v>
      </c>
    </row>
    <row r="41" spans="1:19" x14ac:dyDescent="0.25">
      <c r="A41" s="3">
        <v>40</v>
      </c>
      <c r="B41" s="23">
        <v>64.15783603474263</v>
      </c>
      <c r="C41" s="18">
        <v>44797.478495370371</v>
      </c>
      <c r="D41" s="23">
        <v>1.000810426012581</v>
      </c>
      <c r="E41" s="19">
        <v>13</v>
      </c>
      <c r="F41" s="17">
        <v>1</v>
      </c>
      <c r="G41" s="19">
        <v>-3.7516412734985352</v>
      </c>
      <c r="H41" s="17">
        <v>0.72974355257034307</v>
      </c>
      <c r="I41" s="17">
        <f t="shared" si="0"/>
        <v>-0.60026260375976559</v>
      </c>
      <c r="J41" s="17">
        <f t="shared" si="1"/>
        <v>-0.43803776494277552</v>
      </c>
      <c r="K41" s="19">
        <v>0</v>
      </c>
      <c r="L41" s="17">
        <v>1.8251182004567001E-2</v>
      </c>
      <c r="M41" s="19">
        <v>0</v>
      </c>
      <c r="N41" s="17">
        <v>1.3942477626126999E-2</v>
      </c>
      <c r="O41" s="19">
        <v>-1.2304782285355031E-4</v>
      </c>
      <c r="P41" s="17">
        <v>0</v>
      </c>
      <c r="Q41" s="19">
        <v>0</v>
      </c>
      <c r="R41" s="17">
        <v>0</v>
      </c>
      <c r="S41" s="19">
        <v>0</v>
      </c>
    </row>
    <row r="42" spans="1:19" x14ac:dyDescent="0.25">
      <c r="A42" s="3">
        <v>41</v>
      </c>
      <c r="B42" s="23">
        <v>65.163783021792909</v>
      </c>
      <c r="C42" s="18">
        <v>44797.478506944448</v>
      </c>
      <c r="D42" s="23">
        <v>2.0067574843096052</v>
      </c>
      <c r="E42" s="19">
        <v>13</v>
      </c>
      <c r="F42" s="17">
        <v>1</v>
      </c>
      <c r="G42" s="19">
        <v>-3.7512714862823486</v>
      </c>
      <c r="H42" s="17">
        <v>0.72974337507247922</v>
      </c>
      <c r="I42" s="17">
        <f t="shared" si="0"/>
        <v>-0.60020343780517582</v>
      </c>
      <c r="J42" s="17">
        <f t="shared" si="1"/>
        <v>-0.43799448243405387</v>
      </c>
      <c r="K42" s="19">
        <v>0</v>
      </c>
      <c r="L42" s="17">
        <v>1.9299460958394E-2</v>
      </c>
      <c r="M42" s="19">
        <v>0</v>
      </c>
      <c r="N42" s="17">
        <v>1.4705645074784999E-2</v>
      </c>
      <c r="O42" s="19">
        <v>-1.2304782285355031E-4</v>
      </c>
      <c r="P42" s="17">
        <v>0</v>
      </c>
      <c r="Q42" s="19">
        <v>0</v>
      </c>
      <c r="R42" s="17">
        <v>0</v>
      </c>
      <c r="S42" s="19">
        <v>0</v>
      </c>
    </row>
    <row r="43" spans="1:19" x14ac:dyDescent="0.25">
      <c r="A43" s="3">
        <v>42</v>
      </c>
      <c r="B43" s="23">
        <v>66.168589887974335</v>
      </c>
      <c r="C43" s="18">
        <v>44797.478518518517</v>
      </c>
      <c r="D43" s="23">
        <v>3.0115641890222729</v>
      </c>
      <c r="E43" s="19">
        <v>13</v>
      </c>
      <c r="F43" s="17">
        <v>1</v>
      </c>
      <c r="G43" s="19">
        <v>-3.7516412734985352</v>
      </c>
      <c r="H43" s="17">
        <v>0.73005117214202886</v>
      </c>
      <c r="I43" s="17">
        <f t="shared" si="0"/>
        <v>-0.60026260375976559</v>
      </c>
      <c r="J43" s="17">
        <f t="shared" si="1"/>
        <v>-0.43822241746784307</v>
      </c>
      <c r="K43" s="19">
        <v>0</v>
      </c>
      <c r="L43" s="17">
        <v>2.0346554808701001E-2</v>
      </c>
      <c r="M43" s="19">
        <v>0</v>
      </c>
      <c r="N43" s="17">
        <v>1.5468107759039E-2</v>
      </c>
      <c r="O43" s="19">
        <v>6.1523911426775157E-5</v>
      </c>
      <c r="P43" s="17">
        <v>0</v>
      </c>
      <c r="Q43" s="19">
        <v>0</v>
      </c>
      <c r="R43" s="17">
        <v>0</v>
      </c>
      <c r="S43" s="19">
        <v>0</v>
      </c>
    </row>
    <row r="44" spans="1:19" x14ac:dyDescent="0.25">
      <c r="A44" s="3">
        <v>43</v>
      </c>
      <c r="B44" s="23">
        <v>67.178397271858245</v>
      </c>
      <c r="C44" s="18">
        <v>44797.478530092594</v>
      </c>
      <c r="D44" s="23">
        <v>1.0066099459025959</v>
      </c>
      <c r="E44" s="19">
        <v>14</v>
      </c>
      <c r="F44" s="17">
        <v>1</v>
      </c>
      <c r="G44" s="19">
        <v>-4.0641818046569824</v>
      </c>
      <c r="H44" s="17">
        <v>0.72220260589599605</v>
      </c>
      <c r="I44" s="17">
        <f t="shared" si="0"/>
        <v>-0.65026908874511724</v>
      </c>
      <c r="J44" s="17">
        <f t="shared" si="1"/>
        <v>-0.4696260304253384</v>
      </c>
      <c r="K44" s="19">
        <v>0</v>
      </c>
      <c r="L44" s="17">
        <v>2.1482562253281001E-2</v>
      </c>
      <c r="M44" s="19">
        <v>0</v>
      </c>
      <c r="N44" s="17">
        <v>1.6286683644702999E-2</v>
      </c>
      <c r="O44" s="19">
        <v>-1.5997171867638826E-3</v>
      </c>
      <c r="P44" s="17">
        <v>0</v>
      </c>
      <c r="Q44" s="19">
        <v>0</v>
      </c>
      <c r="R44" s="17">
        <v>0</v>
      </c>
      <c r="S44" s="19">
        <v>0</v>
      </c>
    </row>
    <row r="45" spans="1:19" x14ac:dyDescent="0.25">
      <c r="A45" s="3">
        <v>44</v>
      </c>
      <c r="B45" s="23">
        <v>68.182321736702093</v>
      </c>
      <c r="C45" s="18">
        <v>44797.478541666664</v>
      </c>
      <c r="D45" s="23">
        <v>2.010534414684706</v>
      </c>
      <c r="E45" s="19">
        <v>14</v>
      </c>
      <c r="F45" s="17">
        <v>1</v>
      </c>
      <c r="G45" s="19">
        <v>-4.0641818046569824</v>
      </c>
      <c r="H45" s="17">
        <v>0.72220260589599605</v>
      </c>
      <c r="I45" s="17">
        <f t="shared" si="0"/>
        <v>-0.65026908874511724</v>
      </c>
      <c r="J45" s="17">
        <f t="shared" si="1"/>
        <v>-0.4696260304253384</v>
      </c>
      <c r="K45" s="19">
        <v>0</v>
      </c>
      <c r="L45" s="17">
        <v>2.2615932367688999E-2</v>
      </c>
      <c r="M45" s="19">
        <v>0</v>
      </c>
      <c r="N45" s="17">
        <v>1.7103114851162001E-2</v>
      </c>
      <c r="O45" s="19">
        <v>-1.5997171867638826E-3</v>
      </c>
      <c r="P45" s="17">
        <v>0</v>
      </c>
      <c r="Q45" s="19">
        <v>0</v>
      </c>
      <c r="R45" s="17">
        <v>0</v>
      </c>
      <c r="S45" s="19">
        <v>0</v>
      </c>
    </row>
    <row r="46" spans="1:19" x14ac:dyDescent="0.25">
      <c r="A46" s="3">
        <v>45</v>
      </c>
      <c r="B46" s="23">
        <v>69.187317272502696</v>
      </c>
      <c r="C46" s="18">
        <v>44797.47855324074</v>
      </c>
      <c r="D46" s="23">
        <v>3.0155299501272781</v>
      </c>
      <c r="E46" s="19">
        <v>14</v>
      </c>
      <c r="F46" s="17">
        <v>1</v>
      </c>
      <c r="G46" s="19">
        <v>-4.0638117790222168</v>
      </c>
      <c r="H46" s="17">
        <v>0.7225100478553772</v>
      </c>
      <c r="I46" s="17">
        <f t="shared" si="0"/>
        <v>-0.65020988464355467</v>
      </c>
      <c r="J46" s="17">
        <f t="shared" si="1"/>
        <v>-0.46978317486985399</v>
      </c>
      <c r="K46" s="19">
        <v>0</v>
      </c>
      <c r="L46" s="17">
        <v>2.3750507342887001E-2</v>
      </c>
      <c r="M46" s="19">
        <v>0</v>
      </c>
      <c r="N46" s="17">
        <v>1.7920553638342999E-2</v>
      </c>
      <c r="O46" s="19">
        <v>6.1523911426775157E-5</v>
      </c>
      <c r="P46" s="17">
        <v>0</v>
      </c>
      <c r="Q46" s="19">
        <v>0</v>
      </c>
      <c r="R46" s="17">
        <v>0</v>
      </c>
      <c r="S46" s="19">
        <v>0</v>
      </c>
    </row>
    <row r="47" spans="1:19" x14ac:dyDescent="0.25">
      <c r="A47" s="3">
        <v>46</v>
      </c>
      <c r="B47" s="23">
        <v>70.191287103980869</v>
      </c>
      <c r="C47" s="18">
        <v>44797.478564814817</v>
      </c>
      <c r="D47" s="23">
        <v>1.001092031463136</v>
      </c>
      <c r="E47" s="19">
        <v>15</v>
      </c>
      <c r="F47" s="17">
        <v>1</v>
      </c>
      <c r="G47" s="19">
        <v>-4.3763518333435059</v>
      </c>
      <c r="H47" s="17">
        <v>0.71466148138046259</v>
      </c>
      <c r="I47" s="17">
        <f t="shared" si="0"/>
        <v>-0.70021629333496094</v>
      </c>
      <c r="J47" s="17">
        <f t="shared" si="1"/>
        <v>-0.50041761348149971</v>
      </c>
      <c r="K47" s="19">
        <v>0</v>
      </c>
      <c r="L47" s="17">
        <v>2.4970828048477001E-2</v>
      </c>
      <c r="M47" s="19">
        <v>0</v>
      </c>
      <c r="N47" s="17">
        <v>1.8790333653427999E-2</v>
      </c>
      <c r="O47" s="19">
        <v>-6.1535836721304804E-5</v>
      </c>
      <c r="P47" s="17">
        <v>0</v>
      </c>
      <c r="Q47" s="19">
        <v>0</v>
      </c>
      <c r="R47" s="17">
        <v>0</v>
      </c>
      <c r="S47" s="19">
        <v>0</v>
      </c>
    </row>
    <row r="48" spans="1:19" x14ac:dyDescent="0.25">
      <c r="A48" s="3">
        <v>47</v>
      </c>
      <c r="B48" s="23">
        <v>71.19620640970102</v>
      </c>
      <c r="C48" s="18">
        <v>44797.478576388887</v>
      </c>
      <c r="D48" s="23">
        <v>2.0060113332450209</v>
      </c>
      <c r="E48" s="19">
        <v>15</v>
      </c>
      <c r="F48" s="17">
        <v>1</v>
      </c>
      <c r="G48" s="19">
        <v>-4.3770918846130371</v>
      </c>
      <c r="H48" s="17">
        <v>0.71466183660507199</v>
      </c>
      <c r="I48" s="17">
        <f t="shared" si="0"/>
        <v>-0.70033470153808597</v>
      </c>
      <c r="J48" s="17">
        <f t="shared" si="1"/>
        <v>-0.50050248403947351</v>
      </c>
      <c r="K48" s="19">
        <v>0</v>
      </c>
      <c r="L48" s="17">
        <v>2.6192576094318E-2</v>
      </c>
      <c r="M48" s="19">
        <v>0</v>
      </c>
      <c r="N48" s="17">
        <v>1.9661244228542998E-2</v>
      </c>
      <c r="O48" s="19">
        <v>-6.1535836721304804E-5</v>
      </c>
      <c r="P48" s="17">
        <v>0</v>
      </c>
      <c r="Q48" s="19">
        <v>0</v>
      </c>
      <c r="R48" s="17">
        <v>0</v>
      </c>
      <c r="S48" s="19">
        <v>0</v>
      </c>
    </row>
    <row r="49" spans="1:19" x14ac:dyDescent="0.25">
      <c r="A49" s="3">
        <v>48</v>
      </c>
      <c r="B49" s="23">
        <v>72.204991890043715</v>
      </c>
      <c r="C49" s="18">
        <v>44797.478587962964</v>
      </c>
      <c r="D49" s="23">
        <v>3.0147968135877208</v>
      </c>
      <c r="E49" s="19">
        <v>15</v>
      </c>
      <c r="F49" s="17">
        <v>1</v>
      </c>
      <c r="G49" s="19">
        <v>-4.3770918846130371</v>
      </c>
      <c r="H49" s="17">
        <v>0.71496951578140255</v>
      </c>
      <c r="I49" s="17">
        <f t="shared" si="0"/>
        <v>-0.70033470153808597</v>
      </c>
      <c r="J49" s="17">
        <f t="shared" si="1"/>
        <v>-0.50071796244359845</v>
      </c>
      <c r="K49" s="19">
        <v>0</v>
      </c>
      <c r="L49" s="17">
        <v>2.7419016264224001E-2</v>
      </c>
      <c r="M49" s="19">
        <v>0</v>
      </c>
      <c r="N49" s="17">
        <v>2.0535602741959001E-2</v>
      </c>
      <c r="O49" s="19">
        <v>0</v>
      </c>
      <c r="P49" s="17">
        <v>0</v>
      </c>
      <c r="Q49" s="19">
        <v>0</v>
      </c>
      <c r="R49" s="17">
        <v>0</v>
      </c>
      <c r="S49" s="19">
        <v>0</v>
      </c>
    </row>
    <row r="50" spans="1:19" x14ac:dyDescent="0.25">
      <c r="A50" s="3">
        <v>49</v>
      </c>
      <c r="B50" s="23">
        <v>73.209898917693891</v>
      </c>
      <c r="C50" s="18">
        <v>44797.47859953704</v>
      </c>
      <c r="D50" s="23">
        <v>1.002071316203085</v>
      </c>
      <c r="E50" s="19">
        <v>16</v>
      </c>
      <c r="F50" s="17">
        <v>1</v>
      </c>
      <c r="G50" s="19">
        <v>-4.6892619132995605</v>
      </c>
      <c r="H50" s="17">
        <v>0.70742839126586909</v>
      </c>
      <c r="I50" s="17">
        <f t="shared" si="0"/>
        <v>-0.75028190612792967</v>
      </c>
      <c r="J50" s="17">
        <f t="shared" si="1"/>
        <v>-0.53077072184797114</v>
      </c>
      <c r="K50" s="19">
        <v>0</v>
      </c>
      <c r="L50" s="17">
        <v>2.8558641440557999E-2</v>
      </c>
      <c r="M50" s="19">
        <v>0</v>
      </c>
      <c r="N50" s="17">
        <v>2.1339774703028998E-2</v>
      </c>
      <c r="O50" s="19">
        <v>-1.5381932025775313E-3</v>
      </c>
      <c r="P50" s="17">
        <v>0</v>
      </c>
      <c r="Q50" s="19">
        <v>0</v>
      </c>
      <c r="R50" s="17">
        <v>0</v>
      </c>
      <c r="S50" s="19">
        <v>0</v>
      </c>
    </row>
    <row r="51" spans="1:19" x14ac:dyDescent="0.25">
      <c r="A51" s="3">
        <v>50</v>
      </c>
      <c r="B51" s="23">
        <v>74.214935406768802</v>
      </c>
      <c r="C51" s="18">
        <v>44797.47861111111</v>
      </c>
      <c r="D51" s="23">
        <v>2.0071078052779878</v>
      </c>
      <c r="E51" s="19">
        <v>16</v>
      </c>
      <c r="F51" s="17">
        <v>1</v>
      </c>
      <c r="G51" s="19">
        <v>-4.6892619132995605</v>
      </c>
      <c r="H51" s="17">
        <v>0.70773601083755489</v>
      </c>
      <c r="I51" s="17">
        <f t="shared" si="0"/>
        <v>-0.75028190612792967</v>
      </c>
      <c r="J51" s="17">
        <f t="shared" si="1"/>
        <v>-0.53100152324657779</v>
      </c>
      <c r="K51" s="19">
        <v>0</v>
      </c>
      <c r="L51" s="17">
        <v>3.0030508306051001E-2</v>
      </c>
      <c r="M51" s="19">
        <v>0</v>
      </c>
      <c r="N51" s="17">
        <v>2.2378013928532E-2</v>
      </c>
      <c r="O51" s="19">
        <v>-1.4766693348065019E-3</v>
      </c>
      <c r="P51" s="17">
        <v>0</v>
      </c>
      <c r="Q51" s="19">
        <v>0</v>
      </c>
      <c r="R51" s="17">
        <v>0</v>
      </c>
      <c r="S51" s="19">
        <v>0</v>
      </c>
    </row>
    <row r="52" spans="1:19" x14ac:dyDescent="0.25">
      <c r="A52" s="3">
        <v>51</v>
      </c>
      <c r="B52" s="23">
        <v>75.219770884784353</v>
      </c>
      <c r="C52" s="18">
        <v>44797.478622685187</v>
      </c>
      <c r="D52" s="23">
        <v>3.0119432832935331</v>
      </c>
      <c r="E52" s="19">
        <v>16</v>
      </c>
      <c r="F52" s="17">
        <v>1</v>
      </c>
      <c r="G52" s="19">
        <v>-4.6888918876647949</v>
      </c>
      <c r="H52" s="17">
        <v>0.70804345279693603</v>
      </c>
      <c r="I52" s="17">
        <f t="shared" si="0"/>
        <v>-0.75022270202636721</v>
      </c>
      <c r="J52" s="17">
        <f t="shared" si="1"/>
        <v>-0.53119027230939597</v>
      </c>
      <c r="K52" s="19">
        <v>0</v>
      </c>
      <c r="L52" s="17">
        <v>3.1339344876190001E-2</v>
      </c>
      <c r="M52" s="19">
        <v>0</v>
      </c>
      <c r="N52" s="17">
        <v>2.330131914377E-2</v>
      </c>
      <c r="O52" s="19">
        <v>6.1523911426775157E-5</v>
      </c>
      <c r="P52" s="17">
        <v>0</v>
      </c>
      <c r="Q52" s="19">
        <v>0</v>
      </c>
      <c r="R52" s="17">
        <v>0</v>
      </c>
      <c r="S52" s="19">
        <v>0</v>
      </c>
    </row>
    <row r="53" spans="1:19" x14ac:dyDescent="0.25">
      <c r="A53" s="3">
        <v>52</v>
      </c>
      <c r="B53" s="23">
        <v>76.224689524938142</v>
      </c>
      <c r="C53" s="18">
        <v>44797.478634259256</v>
      </c>
      <c r="D53" s="23">
        <v>1.002023051007658</v>
      </c>
      <c r="E53" s="19">
        <v>17</v>
      </c>
      <c r="F53" s="17">
        <v>1</v>
      </c>
      <c r="G53" s="19">
        <v>-5.0014324188232422</v>
      </c>
      <c r="H53" s="17">
        <v>0.70050256572723391</v>
      </c>
      <c r="I53" s="17">
        <f t="shared" si="0"/>
        <v>-0.80022918701171875</v>
      </c>
      <c r="J53" s="17">
        <f t="shared" si="1"/>
        <v>-0.56056259867152747</v>
      </c>
      <c r="K53" s="19">
        <v>0</v>
      </c>
      <c r="L53" s="17">
        <v>3.2732426626919997E-2</v>
      </c>
      <c r="M53" s="19">
        <v>0</v>
      </c>
      <c r="N53" s="17">
        <v>2.4274102737878001E-2</v>
      </c>
      <c r="O53" s="19">
        <v>-1.4151334762573242E-3</v>
      </c>
      <c r="P53" s="17">
        <v>0</v>
      </c>
      <c r="Q53" s="19">
        <v>0</v>
      </c>
      <c r="R53" s="17">
        <v>0</v>
      </c>
      <c r="S53" s="19">
        <v>0</v>
      </c>
    </row>
    <row r="54" spans="1:19" x14ac:dyDescent="0.25">
      <c r="A54" s="3">
        <v>53</v>
      </c>
      <c r="B54" s="23">
        <v>77.232539711289562</v>
      </c>
      <c r="C54" s="18">
        <v>44797.478645833333</v>
      </c>
      <c r="D54" s="23">
        <v>2.0098732488158362</v>
      </c>
      <c r="E54" s="19">
        <v>17</v>
      </c>
      <c r="F54" s="17">
        <v>1</v>
      </c>
      <c r="G54" s="19">
        <v>-5.0021719932556152</v>
      </c>
      <c r="H54" s="17">
        <v>0.70019524154663082</v>
      </c>
      <c r="I54" s="17">
        <f t="shared" si="0"/>
        <v>-0.80034751892089839</v>
      </c>
      <c r="J54" s="17">
        <f t="shared" si="1"/>
        <v>-0.56039952433206508</v>
      </c>
      <c r="K54" s="19">
        <v>0</v>
      </c>
      <c r="L54" s="17">
        <v>3.4132694060452003E-2</v>
      </c>
      <c r="M54" s="19">
        <v>0</v>
      </c>
      <c r="N54" s="17">
        <v>2.5251567970814001E-2</v>
      </c>
      <c r="O54" s="19">
        <v>-1.4766693348065019E-3</v>
      </c>
      <c r="P54" s="17">
        <v>0</v>
      </c>
      <c r="Q54" s="19">
        <v>0</v>
      </c>
      <c r="R54" s="17">
        <v>0</v>
      </c>
      <c r="S54" s="19">
        <v>0</v>
      </c>
    </row>
    <row r="55" spans="1:19" x14ac:dyDescent="0.25">
      <c r="A55" s="3">
        <v>54</v>
      </c>
      <c r="B55" s="23">
        <v>78.225631689407152</v>
      </c>
      <c r="C55" s="18">
        <v>44797.47865740741</v>
      </c>
      <c r="D55" s="23">
        <v>3.002965211896417</v>
      </c>
      <c r="E55" s="19">
        <v>17</v>
      </c>
      <c r="F55" s="17">
        <v>1</v>
      </c>
      <c r="G55" s="19">
        <v>-5.0021719932556152</v>
      </c>
      <c r="H55" s="17">
        <v>0.70050292072296139</v>
      </c>
      <c r="I55" s="17">
        <f t="shared" si="0"/>
        <v>-0.80034751892089839</v>
      </c>
      <c r="J55" s="17">
        <f t="shared" si="1"/>
        <v>-0.5606457745974649</v>
      </c>
      <c r="K55" s="19">
        <v>0</v>
      </c>
      <c r="L55" s="17">
        <v>3.5512440391748001E-2</v>
      </c>
      <c r="M55" s="19">
        <v>0</v>
      </c>
      <c r="N55" s="17">
        <v>2.6214755887520001E-2</v>
      </c>
      <c r="O55" s="19">
        <v>0</v>
      </c>
      <c r="P55" s="17">
        <v>0</v>
      </c>
      <c r="Q55" s="19">
        <v>0</v>
      </c>
      <c r="R55" s="17">
        <v>0</v>
      </c>
      <c r="S55" s="19">
        <v>0</v>
      </c>
    </row>
    <row r="56" spans="1:19" x14ac:dyDescent="0.25">
      <c r="A56" s="3">
        <v>55</v>
      </c>
      <c r="B56" s="23">
        <v>79.229605148741001</v>
      </c>
      <c r="C56" s="18">
        <v>44797.478668981479</v>
      </c>
      <c r="D56" s="23">
        <v>1.001034184117346</v>
      </c>
      <c r="E56" s="19">
        <v>18</v>
      </c>
      <c r="F56" s="17">
        <v>1</v>
      </c>
      <c r="G56" s="19">
        <v>-5.3139724731445313</v>
      </c>
      <c r="H56" s="17">
        <v>0.69326923839569088</v>
      </c>
      <c r="I56" s="17">
        <f t="shared" si="0"/>
        <v>-0.85023559570312501</v>
      </c>
      <c r="J56" s="17">
        <f t="shared" si="1"/>
        <v>-0.58944218389001202</v>
      </c>
      <c r="K56" s="19">
        <v>0</v>
      </c>
      <c r="L56" s="17">
        <v>3.6987272005144997E-2</v>
      </c>
      <c r="M56" s="19">
        <v>0</v>
      </c>
      <c r="N56" s="17">
        <v>2.7233790849173E-2</v>
      </c>
      <c r="O56" s="19">
        <v>-1.4151334762573242E-3</v>
      </c>
      <c r="P56" s="17">
        <v>0</v>
      </c>
      <c r="Q56" s="19">
        <v>0</v>
      </c>
      <c r="R56" s="17">
        <v>0</v>
      </c>
      <c r="S56" s="19">
        <v>0</v>
      </c>
    </row>
    <row r="57" spans="1:19" x14ac:dyDescent="0.25">
      <c r="A57" s="3">
        <v>56</v>
      </c>
      <c r="B57" s="23">
        <v>80.234611285269821</v>
      </c>
      <c r="C57" s="18">
        <v>44797.478680555549</v>
      </c>
      <c r="D57" s="23">
        <v>2.0060403245844238</v>
      </c>
      <c r="E57" s="19">
        <v>18</v>
      </c>
      <c r="F57" s="17">
        <v>1</v>
      </c>
      <c r="G57" s="19">
        <v>-5.3143420219421387</v>
      </c>
      <c r="H57" s="17">
        <v>0.69296179620742793</v>
      </c>
      <c r="I57" s="17">
        <f t="shared" si="0"/>
        <v>-0.8502947235107422</v>
      </c>
      <c r="J57" s="17">
        <f t="shared" si="1"/>
        <v>-0.58922175890970219</v>
      </c>
      <c r="K57" s="19">
        <v>0</v>
      </c>
      <c r="L57" s="17">
        <v>3.8470830524232003E-2</v>
      </c>
      <c r="M57" s="19">
        <v>0</v>
      </c>
      <c r="N57" s="17">
        <v>2.8258501697548E-2</v>
      </c>
      <c r="O57" s="19">
        <v>-1.4766573440283537E-3</v>
      </c>
      <c r="P57" s="17">
        <v>0</v>
      </c>
      <c r="Q57" s="19">
        <v>0</v>
      </c>
      <c r="R57" s="17">
        <v>0</v>
      </c>
      <c r="S57" s="19">
        <v>0</v>
      </c>
    </row>
    <row r="58" spans="1:19" x14ac:dyDescent="0.25">
      <c r="A58" s="3">
        <v>57</v>
      </c>
      <c r="B58" s="23">
        <v>81.240380918402778</v>
      </c>
      <c r="C58" s="18">
        <v>44797.478692129633</v>
      </c>
      <c r="D58" s="23">
        <v>3.0118099573593589</v>
      </c>
      <c r="E58" s="19">
        <v>18</v>
      </c>
      <c r="F58" s="17">
        <v>1</v>
      </c>
      <c r="G58" s="19">
        <v>-5.3143420219421387</v>
      </c>
      <c r="H58" s="17">
        <v>0.69326941577911372</v>
      </c>
      <c r="I58" s="17">
        <f t="shared" si="0"/>
        <v>-0.8502947235107422</v>
      </c>
      <c r="J58" s="17">
        <f t="shared" si="1"/>
        <v>-0.58948332620835531</v>
      </c>
      <c r="K58" s="19">
        <v>0</v>
      </c>
      <c r="L58" s="17">
        <v>3.9955521691568997E-2</v>
      </c>
      <c r="M58" s="19">
        <v>0</v>
      </c>
      <c r="N58" s="17">
        <v>2.9283887146723E-2</v>
      </c>
      <c r="O58" s="19">
        <v>6.1523911426775157E-5</v>
      </c>
      <c r="P58" s="17">
        <v>0</v>
      </c>
      <c r="Q58" s="19">
        <v>0</v>
      </c>
      <c r="R58" s="17">
        <v>0</v>
      </c>
      <c r="S58" s="19">
        <v>0</v>
      </c>
    </row>
    <row r="59" spans="1:19" x14ac:dyDescent="0.25">
      <c r="A59" s="3">
        <v>58</v>
      </c>
      <c r="B59" s="23">
        <v>82.244410548456742</v>
      </c>
      <c r="C59" s="18">
        <v>44797.478703703702</v>
      </c>
      <c r="D59" s="23">
        <v>1.0008311470010129</v>
      </c>
      <c r="E59" s="19">
        <v>19</v>
      </c>
      <c r="F59" s="17">
        <v>1</v>
      </c>
      <c r="G59" s="19">
        <v>-5.6268825531005859</v>
      </c>
      <c r="H59" s="17">
        <v>0.68603614828109738</v>
      </c>
      <c r="I59" s="17">
        <f t="shared" si="0"/>
        <v>-0.90030120849609374</v>
      </c>
      <c r="J59" s="17">
        <f t="shared" si="1"/>
        <v>-0.61763917336947738</v>
      </c>
      <c r="K59" s="19">
        <v>0</v>
      </c>
      <c r="L59" s="17">
        <v>4.1524559560934003E-2</v>
      </c>
      <c r="M59" s="19">
        <v>0</v>
      </c>
      <c r="N59" s="17">
        <v>3.035632266662E-2</v>
      </c>
      <c r="O59" s="19">
        <v>-6.1523911426775157E-5</v>
      </c>
      <c r="P59" s="17">
        <v>0</v>
      </c>
      <c r="Q59" s="19">
        <v>0</v>
      </c>
      <c r="R59" s="17">
        <v>0</v>
      </c>
      <c r="S59" s="19">
        <v>0</v>
      </c>
    </row>
    <row r="60" spans="1:19" x14ac:dyDescent="0.25">
      <c r="A60" s="3">
        <v>59</v>
      </c>
      <c r="B60" s="23">
        <v>83.254244194106207</v>
      </c>
      <c r="C60" s="18">
        <v>44797.478715277779</v>
      </c>
      <c r="D60" s="23">
        <v>2.010664856736756</v>
      </c>
      <c r="E60" s="19">
        <v>19</v>
      </c>
      <c r="F60" s="17">
        <v>1</v>
      </c>
      <c r="G60" s="19">
        <v>-5.6272521018981934</v>
      </c>
      <c r="H60" s="17">
        <v>0.68603632566452022</v>
      </c>
      <c r="I60" s="17">
        <f t="shared" si="0"/>
        <v>-0.90036033630371093</v>
      </c>
      <c r="J60" s="17">
        <f t="shared" si="1"/>
        <v>-0.61767989689186953</v>
      </c>
      <c r="K60" s="19">
        <v>0</v>
      </c>
      <c r="L60" s="17">
        <v>4.3102947069741E-2</v>
      </c>
      <c r="M60" s="19">
        <v>0</v>
      </c>
      <c r="N60" s="17">
        <v>3.1435065415059998E-2</v>
      </c>
      <c r="O60" s="19">
        <v>-6.1523911426775157E-5</v>
      </c>
      <c r="P60" s="17">
        <v>0</v>
      </c>
      <c r="Q60" s="19">
        <v>0</v>
      </c>
      <c r="R60" s="17">
        <v>0</v>
      </c>
      <c r="S60" s="19">
        <v>0</v>
      </c>
    </row>
    <row r="61" spans="1:19" x14ac:dyDescent="0.25">
      <c r="A61" s="3">
        <v>60</v>
      </c>
      <c r="B61" s="23">
        <v>84.245443675329653</v>
      </c>
      <c r="C61" s="18">
        <v>44797.478726851848</v>
      </c>
      <c r="D61" s="23">
        <v>3.0018643229231929</v>
      </c>
      <c r="E61" s="19">
        <v>19</v>
      </c>
      <c r="F61" s="17">
        <v>1</v>
      </c>
      <c r="G61" s="19">
        <v>-5.6268825531005859</v>
      </c>
      <c r="H61" s="17">
        <v>0.68634376785278317</v>
      </c>
      <c r="I61" s="17">
        <f t="shared" si="0"/>
        <v>-0.90030120849609374</v>
      </c>
      <c r="J61" s="17">
        <f t="shared" si="1"/>
        <v>-0.61791612364162307</v>
      </c>
      <c r="K61" s="19">
        <v>0</v>
      </c>
      <c r="L61" s="17">
        <v>4.4652200855841997E-2</v>
      </c>
      <c r="M61" s="19">
        <v>0</v>
      </c>
      <c r="N61" s="17">
        <v>3.2493917882032999E-2</v>
      </c>
      <c r="O61" s="19">
        <v>6.1523911426775157E-5</v>
      </c>
      <c r="P61" s="17">
        <v>0</v>
      </c>
      <c r="Q61" s="19">
        <v>0</v>
      </c>
      <c r="R61" s="17">
        <v>0</v>
      </c>
      <c r="S61" s="19">
        <v>0</v>
      </c>
    </row>
    <row r="62" spans="1:19" x14ac:dyDescent="0.25">
      <c r="A62" s="3">
        <v>61</v>
      </c>
      <c r="B62" s="23">
        <v>85.255309087003383</v>
      </c>
      <c r="C62" s="18">
        <v>44797.478738425925</v>
      </c>
      <c r="D62" s="23">
        <v>1.0066628310378041</v>
      </c>
      <c r="E62" s="19">
        <v>20</v>
      </c>
      <c r="F62" s="17">
        <v>1</v>
      </c>
      <c r="G62" s="19">
        <v>-5.939422607421875</v>
      </c>
      <c r="H62" s="17">
        <v>0.67911050012588503</v>
      </c>
      <c r="I62" s="17">
        <f t="shared" si="0"/>
        <v>-0.95030761718750001</v>
      </c>
      <c r="J62" s="17">
        <f t="shared" si="1"/>
        <v>-0.64536388118164123</v>
      </c>
      <c r="K62" s="19">
        <v>0</v>
      </c>
      <c r="L62" s="17">
        <v>4.6317997608797998E-2</v>
      </c>
      <c r="M62" s="19">
        <v>0</v>
      </c>
      <c r="N62" s="17">
        <v>3.3620311537335003E-2</v>
      </c>
      <c r="O62" s="19">
        <v>-6.1523911426775157E-5</v>
      </c>
      <c r="P62" s="17">
        <v>0</v>
      </c>
      <c r="Q62" s="19">
        <v>0</v>
      </c>
      <c r="R62" s="17">
        <v>0</v>
      </c>
      <c r="S62" s="19">
        <v>0</v>
      </c>
    </row>
    <row r="63" spans="1:19" x14ac:dyDescent="0.25">
      <c r="A63" s="3">
        <v>62</v>
      </c>
      <c r="B63" s="23">
        <v>86.259268697258605</v>
      </c>
      <c r="C63" s="18">
        <v>44797.478750000002</v>
      </c>
      <c r="D63" s="23">
        <v>2.0106224412930391</v>
      </c>
      <c r="E63" s="19">
        <v>20</v>
      </c>
      <c r="F63" s="17">
        <v>1</v>
      </c>
      <c r="G63" s="19">
        <v>-5.939422607421875</v>
      </c>
      <c r="H63" s="17">
        <v>0.67911050012588503</v>
      </c>
      <c r="I63" s="17">
        <f t="shared" si="0"/>
        <v>-0.95030761718750001</v>
      </c>
      <c r="J63" s="17">
        <f t="shared" si="1"/>
        <v>-0.64536388118164123</v>
      </c>
      <c r="K63" s="19">
        <v>0</v>
      </c>
      <c r="L63" s="17">
        <v>4.7974340937351E-2</v>
      </c>
      <c r="M63" s="19">
        <v>0</v>
      </c>
      <c r="N63" s="17">
        <v>3.4740278176337E-2</v>
      </c>
      <c r="O63" s="19">
        <v>-6.1523911426775157E-5</v>
      </c>
      <c r="P63" s="17">
        <v>0</v>
      </c>
      <c r="Q63" s="19">
        <v>0</v>
      </c>
      <c r="R63" s="17">
        <v>0</v>
      </c>
      <c r="S63" s="19">
        <v>0</v>
      </c>
    </row>
    <row r="64" spans="1:19" x14ac:dyDescent="0.25">
      <c r="A64" s="3">
        <v>63</v>
      </c>
      <c r="B64" s="23">
        <v>87.249480920192909</v>
      </c>
      <c r="C64" s="18">
        <v>44797.478761574072</v>
      </c>
      <c r="D64" s="23">
        <v>3.0008346606470919</v>
      </c>
      <c r="E64" s="19">
        <v>20</v>
      </c>
      <c r="F64" s="17">
        <v>1</v>
      </c>
      <c r="G64" s="19">
        <v>-5.9397921562194824</v>
      </c>
      <c r="H64" s="17">
        <v>0.6788029983329773</v>
      </c>
      <c r="I64" s="17">
        <f t="shared" si="0"/>
        <v>-0.9503667449951172</v>
      </c>
      <c r="J64" s="17">
        <f t="shared" si="1"/>
        <v>-0.64511179601863755</v>
      </c>
      <c r="K64" s="19">
        <v>0</v>
      </c>
      <c r="L64" s="17">
        <v>4.9608025014516E-2</v>
      </c>
      <c r="M64" s="19">
        <v>0</v>
      </c>
      <c r="N64" s="17">
        <v>3.5844932910256998E-2</v>
      </c>
      <c r="O64" s="19">
        <v>-6.1535836721304804E-5</v>
      </c>
      <c r="P64" s="17">
        <v>0</v>
      </c>
      <c r="Q64" s="19">
        <v>0</v>
      </c>
      <c r="R64" s="17">
        <v>0</v>
      </c>
      <c r="S64" s="19">
        <v>0</v>
      </c>
    </row>
    <row r="65" spans="1:19" x14ac:dyDescent="0.25">
      <c r="A65" s="3">
        <v>64</v>
      </c>
      <c r="B65" s="23">
        <v>88.256330307793107</v>
      </c>
      <c r="C65" s="18">
        <v>44797.478773148141</v>
      </c>
      <c r="D65" s="23">
        <v>1.003668681863586</v>
      </c>
      <c r="E65" s="19">
        <v>21</v>
      </c>
      <c r="F65" s="17">
        <v>1</v>
      </c>
      <c r="G65" s="19">
        <v>-6.2519626617431641</v>
      </c>
      <c r="H65" s="17">
        <v>0.67249247154235836</v>
      </c>
      <c r="I65" s="17">
        <f t="shared" si="0"/>
        <v>-1.0003140258789063</v>
      </c>
      <c r="J65" s="17">
        <f t="shared" si="1"/>
        <v>-0.67270365158179235</v>
      </c>
      <c r="K65" s="19">
        <v>0</v>
      </c>
      <c r="L65" s="17">
        <v>5.1352622453616999E-2</v>
      </c>
      <c r="M65" s="19">
        <v>0</v>
      </c>
      <c r="N65" s="17">
        <v>3.7013028045866002E-2</v>
      </c>
      <c r="O65" s="19">
        <v>-1.3536096084862947E-3</v>
      </c>
      <c r="P65" s="17">
        <v>0</v>
      </c>
      <c r="Q65" s="19">
        <v>0</v>
      </c>
      <c r="R65" s="17">
        <v>0</v>
      </c>
      <c r="S65" s="19">
        <v>0</v>
      </c>
    </row>
    <row r="66" spans="1:19" x14ac:dyDescent="0.25">
      <c r="A66" s="3">
        <v>65</v>
      </c>
      <c r="B66" s="23">
        <v>89.260269700799469</v>
      </c>
      <c r="C66" s="18">
        <v>44797.478784722225</v>
      </c>
      <c r="D66" s="23">
        <v>2.00760807128971</v>
      </c>
      <c r="E66" s="19">
        <v>21</v>
      </c>
      <c r="F66" s="17">
        <v>1</v>
      </c>
      <c r="G66" s="19">
        <v>-6.2519626617431641</v>
      </c>
      <c r="H66" s="17">
        <v>0.67218479236602779</v>
      </c>
      <c r="I66" s="17">
        <f t="shared" si="0"/>
        <v>-1.0003140258789063</v>
      </c>
      <c r="J66" s="17">
        <f t="shared" si="1"/>
        <v>-0.67239587578623794</v>
      </c>
      <c r="K66" s="19">
        <v>0</v>
      </c>
      <c r="L66" s="17">
        <v>5.3096084729148001E-2</v>
      </c>
      <c r="M66" s="19">
        <v>0</v>
      </c>
      <c r="N66" s="17">
        <v>3.8179594010419003E-2</v>
      </c>
      <c r="O66" s="19">
        <v>-1.4151453506201506E-3</v>
      </c>
      <c r="P66" s="17">
        <v>0</v>
      </c>
      <c r="Q66" s="19">
        <v>0</v>
      </c>
      <c r="R66" s="17">
        <v>0</v>
      </c>
      <c r="S66" s="19">
        <v>0</v>
      </c>
    </row>
    <row r="67" spans="1:19" x14ac:dyDescent="0.25">
      <c r="A67" s="3">
        <v>66</v>
      </c>
      <c r="B67" s="23">
        <v>90.267217106737647</v>
      </c>
      <c r="C67" s="18">
        <v>44797.478796296295</v>
      </c>
      <c r="D67" s="23">
        <v>3.0145554772278929</v>
      </c>
      <c r="E67" s="19">
        <v>21</v>
      </c>
      <c r="F67" s="17">
        <v>1</v>
      </c>
      <c r="G67" s="19">
        <v>-6.2519626617431641</v>
      </c>
      <c r="H67" s="17">
        <v>0.671877172794342</v>
      </c>
      <c r="I67" s="17">
        <f t="shared" si="0"/>
        <v>-1.0003140258789063</v>
      </c>
      <c r="J67" s="17">
        <f t="shared" si="1"/>
        <v>-0.67208815961404578</v>
      </c>
      <c r="K67" s="19">
        <v>0</v>
      </c>
      <c r="L67" s="17">
        <v>5.4844785270403998E-2</v>
      </c>
      <c r="M67" s="19">
        <v>0</v>
      </c>
      <c r="N67" s="17">
        <v>3.9349540042212999E-2</v>
      </c>
      <c r="O67" s="19">
        <v>0</v>
      </c>
      <c r="P67" s="17">
        <v>0</v>
      </c>
      <c r="Q67" s="19">
        <v>0</v>
      </c>
      <c r="R67" s="17">
        <v>0</v>
      </c>
      <c r="S67" s="19">
        <v>0</v>
      </c>
    </row>
    <row r="68" spans="1:19" x14ac:dyDescent="0.25">
      <c r="A68" s="3">
        <v>67</v>
      </c>
      <c r="B68" s="23">
        <v>91.272144731500006</v>
      </c>
      <c r="C68" s="18">
        <v>44797.478807870371</v>
      </c>
      <c r="D68" s="23">
        <v>1.00173620910025</v>
      </c>
      <c r="E68" s="19">
        <v>22</v>
      </c>
      <c r="F68" s="17">
        <v>1</v>
      </c>
      <c r="G68" s="19">
        <v>-7.5024929046630859</v>
      </c>
      <c r="H68" s="17">
        <v>0.64478999692916872</v>
      </c>
      <c r="I68" s="17">
        <f t="shared" si="0"/>
        <v>-1.2003988647460937</v>
      </c>
      <c r="J68" s="17">
        <f t="shared" si="1"/>
        <v>-0.77400518031341137</v>
      </c>
      <c r="K68" s="19">
        <v>0</v>
      </c>
      <c r="L68" s="17">
        <v>5.6937829796607997E-2</v>
      </c>
      <c r="M68" s="19">
        <v>0</v>
      </c>
      <c r="N68" s="17">
        <v>4.0691670692015E-2</v>
      </c>
      <c r="O68" s="19">
        <v>-1.2305975542403758E-4</v>
      </c>
      <c r="P68" s="17">
        <v>0</v>
      </c>
      <c r="Q68" s="19">
        <v>0</v>
      </c>
      <c r="R68" s="17">
        <v>0</v>
      </c>
      <c r="S68" s="19">
        <v>0</v>
      </c>
    </row>
    <row r="69" spans="1:19" x14ac:dyDescent="0.25">
      <c r="A69" s="3">
        <v>68</v>
      </c>
      <c r="B69" s="23">
        <v>92.272996370354193</v>
      </c>
      <c r="C69" s="18">
        <v>44797.478819444441</v>
      </c>
      <c r="D69" s="23">
        <v>2.0025878479544308</v>
      </c>
      <c r="E69" s="19">
        <v>22</v>
      </c>
      <c r="F69" s="17">
        <v>1</v>
      </c>
      <c r="G69" s="19">
        <v>-7.5024929046630859</v>
      </c>
      <c r="H69" s="17">
        <v>0.64448237735748293</v>
      </c>
      <c r="I69" s="17">
        <f t="shared" si="0"/>
        <v>-1.2003988647460937</v>
      </c>
      <c r="J69" s="17">
        <f t="shared" si="1"/>
        <v>-0.77363591412878607</v>
      </c>
      <c r="K69" s="19">
        <v>0</v>
      </c>
      <c r="L69" s="17">
        <v>5.9023516436336E-2</v>
      </c>
      <c r="M69" s="19">
        <v>0</v>
      </c>
      <c r="N69" s="17">
        <v>4.2028613754770003E-2</v>
      </c>
      <c r="O69" s="19">
        <v>-1.8458366685081273E-4</v>
      </c>
      <c r="P69" s="17">
        <v>0</v>
      </c>
      <c r="Q69" s="19">
        <v>0</v>
      </c>
      <c r="R69" s="17">
        <v>0</v>
      </c>
      <c r="S69" s="19">
        <v>0</v>
      </c>
    </row>
    <row r="70" spans="1:19" x14ac:dyDescent="0.25">
      <c r="A70" s="3">
        <v>69</v>
      </c>
      <c r="B70" s="23">
        <v>93.277950497832165</v>
      </c>
      <c r="C70" s="18">
        <v>44797.478831018518</v>
      </c>
      <c r="D70" s="23">
        <v>3.007541979012641</v>
      </c>
      <c r="E70" s="19">
        <v>22</v>
      </c>
      <c r="F70" s="17">
        <v>1</v>
      </c>
      <c r="G70" s="19">
        <v>-7.5024929046630859</v>
      </c>
      <c r="H70" s="17">
        <v>0.64448237735748293</v>
      </c>
      <c r="I70" s="17">
        <f t="shared" si="0"/>
        <v>-1.2003988647460937</v>
      </c>
      <c r="J70" s="17">
        <f t="shared" si="1"/>
        <v>-0.77363591412878607</v>
      </c>
      <c r="K70" s="19">
        <v>0</v>
      </c>
      <c r="L70" s="17">
        <v>6.1117761698405E-2</v>
      </c>
      <c r="M70" s="19">
        <v>0</v>
      </c>
      <c r="N70" s="17">
        <v>4.3371028370502003E-2</v>
      </c>
      <c r="O70" s="19">
        <v>0</v>
      </c>
      <c r="P70" s="17">
        <v>0</v>
      </c>
      <c r="Q70" s="19">
        <v>0</v>
      </c>
      <c r="R70" s="17">
        <v>0</v>
      </c>
      <c r="S70" s="19">
        <v>0</v>
      </c>
    </row>
    <row r="71" spans="1:19" x14ac:dyDescent="0.25">
      <c r="A71" s="3">
        <v>70</v>
      </c>
      <c r="B71" s="23">
        <v>94.285953350924217</v>
      </c>
      <c r="C71" s="18">
        <v>44797.478842592594</v>
      </c>
      <c r="D71" s="23">
        <v>1.004816061666028</v>
      </c>
      <c r="E71" s="19">
        <v>23</v>
      </c>
      <c r="F71" s="17">
        <v>1</v>
      </c>
      <c r="G71" s="19">
        <v>-8.7515430450439453</v>
      </c>
      <c r="H71" s="17">
        <v>0.618317409362793</v>
      </c>
      <c r="I71" s="17">
        <f t="shared" si="0"/>
        <v>-1.4002468872070313</v>
      </c>
      <c r="J71" s="17">
        <f t="shared" si="1"/>
        <v>-0.86579702776616663</v>
      </c>
      <c r="K71" s="19">
        <v>0</v>
      </c>
      <c r="L71" s="17">
        <v>6.3552668999812004E-2</v>
      </c>
      <c r="M71" s="19">
        <v>0</v>
      </c>
      <c r="N71" s="17">
        <v>4.4868848006976998E-2</v>
      </c>
      <c r="O71" s="19">
        <v>-5.414426326751709E-3</v>
      </c>
      <c r="P71" s="17">
        <v>0</v>
      </c>
      <c r="Q71" s="19">
        <v>0</v>
      </c>
      <c r="R71" s="17">
        <v>0</v>
      </c>
      <c r="S71" s="19">
        <v>0</v>
      </c>
    </row>
    <row r="72" spans="1:19" x14ac:dyDescent="0.25">
      <c r="A72" s="3">
        <v>71</v>
      </c>
      <c r="B72" s="23">
        <v>95.290790114603439</v>
      </c>
      <c r="C72" s="18">
        <v>44797.478854166664</v>
      </c>
      <c r="D72" s="23">
        <v>2.009652825345225</v>
      </c>
      <c r="E72" s="19">
        <v>23</v>
      </c>
      <c r="F72" s="17">
        <v>1</v>
      </c>
      <c r="G72" s="19">
        <v>-8.7522830963134766</v>
      </c>
      <c r="H72" s="17">
        <v>0.61770246583938604</v>
      </c>
      <c r="I72" s="17">
        <f t="shared" si="0"/>
        <v>-1.4003652954101562</v>
      </c>
      <c r="J72" s="17">
        <f t="shared" si="1"/>
        <v>-0.86500909605075371</v>
      </c>
      <c r="K72" s="19">
        <v>0</v>
      </c>
      <c r="L72" s="17">
        <v>6.5995540310249998E-2</v>
      </c>
      <c r="M72" s="19">
        <v>0</v>
      </c>
      <c r="N72" s="17">
        <v>4.6368410931649E-2</v>
      </c>
      <c r="O72" s="19">
        <v>-5.5374861694872379E-3</v>
      </c>
      <c r="P72" s="17">
        <v>0</v>
      </c>
      <c r="Q72" s="19">
        <v>0</v>
      </c>
      <c r="R72" s="17">
        <v>0</v>
      </c>
      <c r="S72" s="19">
        <v>0</v>
      </c>
    </row>
    <row r="73" spans="1:19" x14ac:dyDescent="0.25">
      <c r="A73" s="3">
        <v>72</v>
      </c>
      <c r="B73" s="23">
        <v>96.295702048254455</v>
      </c>
      <c r="C73" s="18">
        <v>44797.478865740741</v>
      </c>
      <c r="D73" s="23">
        <v>3.0145647589962441</v>
      </c>
      <c r="E73" s="19">
        <v>23</v>
      </c>
      <c r="F73" s="17">
        <v>1</v>
      </c>
      <c r="G73" s="19">
        <v>-8.7519130706787109</v>
      </c>
      <c r="H73" s="17">
        <v>0.61800996740341185</v>
      </c>
      <c r="I73" s="17">
        <f t="shared" ref="I73:I117" si="2">G73/6.25</f>
        <v>-1.4003060913085938</v>
      </c>
      <c r="J73" s="17">
        <f t="shared" ref="J73:J117" si="3">H73*I73</f>
        <v>-0.86540312184442314</v>
      </c>
      <c r="K73" s="19">
        <v>0</v>
      </c>
      <c r="L73" s="17">
        <v>6.8438572574979997E-2</v>
      </c>
      <c r="M73" s="19">
        <v>0</v>
      </c>
      <c r="N73" s="17">
        <v>4.7867843122033002E-2</v>
      </c>
      <c r="O73" s="19">
        <v>0</v>
      </c>
      <c r="P73" s="17">
        <v>0</v>
      </c>
      <c r="Q73" s="19">
        <v>0</v>
      </c>
      <c r="R73" s="17">
        <v>0</v>
      </c>
      <c r="S73" s="19">
        <v>0</v>
      </c>
    </row>
    <row r="74" spans="1:19" x14ac:dyDescent="0.25">
      <c r="A74" s="3">
        <v>73</v>
      </c>
      <c r="B74" s="23">
        <v>97.304497934202374</v>
      </c>
      <c r="C74" s="18">
        <v>44797.478877314818</v>
      </c>
      <c r="D74" s="23">
        <v>1.0055909445027229</v>
      </c>
      <c r="E74" s="19">
        <v>24</v>
      </c>
      <c r="F74" s="17">
        <v>1</v>
      </c>
      <c r="G74" s="19">
        <v>-10.002444267272949</v>
      </c>
      <c r="H74" s="17">
        <v>0.59184571031570432</v>
      </c>
      <c r="I74" s="17">
        <f t="shared" si="2"/>
        <v>-1.6003910827636718</v>
      </c>
      <c r="J74" s="17">
        <f t="shared" si="3"/>
        <v>-0.94718459716118453</v>
      </c>
      <c r="K74" s="19">
        <v>0</v>
      </c>
      <c r="L74" s="17">
        <v>7.1231161688216998E-2</v>
      </c>
      <c r="M74" s="19">
        <v>0</v>
      </c>
      <c r="N74" s="17">
        <v>4.9509557310433001E-2</v>
      </c>
      <c r="O74" s="19">
        <v>-5.29136648401618E-3</v>
      </c>
      <c r="P74" s="17">
        <v>0</v>
      </c>
      <c r="Q74" s="19">
        <v>0</v>
      </c>
      <c r="R74" s="17">
        <v>0</v>
      </c>
      <c r="S74" s="19">
        <v>0</v>
      </c>
    </row>
    <row r="75" spans="1:19" x14ac:dyDescent="0.25">
      <c r="A75" s="3">
        <v>74</v>
      </c>
      <c r="B75" s="23">
        <v>98.307483564199046</v>
      </c>
      <c r="C75" s="18">
        <v>44797.478888888887</v>
      </c>
      <c r="D75" s="23">
        <v>2.0085765970548959</v>
      </c>
      <c r="E75" s="19">
        <v>24</v>
      </c>
      <c r="F75" s="17">
        <v>1</v>
      </c>
      <c r="G75" s="19">
        <v>-10.002444267272949</v>
      </c>
      <c r="H75" s="17">
        <v>0.59153803113937375</v>
      </c>
      <c r="I75" s="17">
        <f t="shared" si="2"/>
        <v>-1.6003910827636718</v>
      </c>
      <c r="J75" s="17">
        <f t="shared" si="3"/>
        <v>-0.94669219015103301</v>
      </c>
      <c r="K75" s="19">
        <v>0</v>
      </c>
      <c r="L75" s="17">
        <v>7.4017854302392994E-2</v>
      </c>
      <c r="M75" s="19">
        <v>0</v>
      </c>
      <c r="N75" s="17">
        <v>5.1144914288418997E-2</v>
      </c>
      <c r="O75" s="19">
        <v>-5.3529022261500359E-3</v>
      </c>
      <c r="P75" s="17">
        <v>0</v>
      </c>
      <c r="Q75" s="19">
        <v>0</v>
      </c>
      <c r="R75" s="17">
        <v>0</v>
      </c>
      <c r="S75" s="19">
        <v>0</v>
      </c>
    </row>
    <row r="76" spans="1:19" x14ac:dyDescent="0.25">
      <c r="A76" s="3">
        <v>75</v>
      </c>
      <c r="B76" s="23">
        <v>99.312455570672114</v>
      </c>
      <c r="C76" s="18">
        <v>44797.478900462957</v>
      </c>
      <c r="D76" s="23">
        <v>3.0135485809724649</v>
      </c>
      <c r="E76" s="19">
        <v>24</v>
      </c>
      <c r="F76" s="17">
        <v>1</v>
      </c>
      <c r="G76" s="19">
        <v>-10.002444267272949</v>
      </c>
      <c r="H76" s="17">
        <v>0.59123041156768796</v>
      </c>
      <c r="I76" s="17">
        <f t="shared" si="2"/>
        <v>-1.6003910827636718</v>
      </c>
      <c r="J76" s="17">
        <f t="shared" si="3"/>
        <v>-0.94619987853162346</v>
      </c>
      <c r="K76" s="19">
        <v>0</v>
      </c>
      <c r="L76" s="17">
        <v>7.6810041528428005E-2</v>
      </c>
      <c r="M76" s="19">
        <v>0</v>
      </c>
      <c r="N76" s="17">
        <v>5.2783040163408998E-2</v>
      </c>
      <c r="O76" s="19">
        <v>-1.2305975542403758E-4</v>
      </c>
      <c r="P76" s="17">
        <v>0</v>
      </c>
      <c r="Q76" s="19">
        <v>0</v>
      </c>
      <c r="R76" s="17">
        <v>0</v>
      </c>
      <c r="S76" s="19">
        <v>0</v>
      </c>
    </row>
    <row r="77" spans="1:19" x14ac:dyDescent="0.25">
      <c r="A77" s="3">
        <v>76</v>
      </c>
      <c r="B77" s="23">
        <v>100.32220843396787</v>
      </c>
      <c r="C77" s="18">
        <v>44797.478912037041</v>
      </c>
      <c r="D77" s="23">
        <v>1.0066726953109619</v>
      </c>
      <c r="E77" s="19">
        <v>25</v>
      </c>
      <c r="F77" s="17">
        <v>1</v>
      </c>
      <c r="G77" s="19">
        <v>-11.256514549255371</v>
      </c>
      <c r="H77" s="17">
        <v>0.56537547281265255</v>
      </c>
      <c r="I77" s="17">
        <f t="shared" si="2"/>
        <v>-1.8010423278808594</v>
      </c>
      <c r="J77" s="17">
        <f t="shared" si="3"/>
        <v>-1.0182651576812414</v>
      </c>
      <c r="K77" s="19">
        <v>0</v>
      </c>
      <c r="L77" s="17">
        <v>7.9826424565868997E-2</v>
      </c>
      <c r="M77" s="19">
        <v>0</v>
      </c>
      <c r="N77" s="17">
        <v>5.4493892631502998E-2</v>
      </c>
      <c r="O77" s="19">
        <v>-5.29137859120965E-3</v>
      </c>
      <c r="P77" s="17">
        <v>0</v>
      </c>
      <c r="Q77" s="19">
        <v>0</v>
      </c>
      <c r="R77" s="17">
        <v>0</v>
      </c>
      <c r="S77" s="19">
        <v>0</v>
      </c>
    </row>
    <row r="78" spans="1:19" x14ac:dyDescent="0.25">
      <c r="A78" s="3">
        <v>77</v>
      </c>
      <c r="B78" s="23">
        <v>101.32608778028792</v>
      </c>
      <c r="C78" s="18">
        <v>44797.47892361111</v>
      </c>
      <c r="D78" s="23">
        <v>2.0105520491495139</v>
      </c>
      <c r="E78" s="19">
        <v>25</v>
      </c>
      <c r="F78" s="17">
        <v>1</v>
      </c>
      <c r="G78" s="19">
        <v>-11.256514549255371</v>
      </c>
      <c r="H78" s="17">
        <v>0.56537547281265255</v>
      </c>
      <c r="I78" s="17">
        <f t="shared" si="2"/>
        <v>-1.8010423278808594</v>
      </c>
      <c r="J78" s="17">
        <f t="shared" si="3"/>
        <v>-1.0182651576812414</v>
      </c>
      <c r="K78" s="19">
        <v>0</v>
      </c>
      <c r="L78" s="17">
        <v>8.2965461716640002E-2</v>
      </c>
      <c r="M78" s="19">
        <v>0</v>
      </c>
      <c r="N78" s="17">
        <v>5.6250580460047002E-2</v>
      </c>
      <c r="O78" s="19">
        <v>-5.29137859120965E-3</v>
      </c>
      <c r="P78" s="17">
        <v>0</v>
      </c>
      <c r="Q78" s="19">
        <v>0</v>
      </c>
      <c r="R78" s="17">
        <v>0</v>
      </c>
      <c r="S78" s="19">
        <v>0</v>
      </c>
    </row>
    <row r="79" spans="1:19" x14ac:dyDescent="0.25">
      <c r="A79" s="3">
        <v>78</v>
      </c>
      <c r="B79" s="23">
        <v>102.3212893634694</v>
      </c>
      <c r="C79" s="18">
        <v>44797.478935185187</v>
      </c>
      <c r="D79" s="23">
        <v>3.005753628392724</v>
      </c>
      <c r="E79" s="19">
        <v>25</v>
      </c>
      <c r="F79" s="17">
        <v>1</v>
      </c>
      <c r="G79" s="19">
        <v>-11.256514549255371</v>
      </c>
      <c r="H79" s="17">
        <v>0.56414493492126461</v>
      </c>
      <c r="I79" s="17">
        <f t="shared" si="2"/>
        <v>-1.8010423278808594</v>
      </c>
      <c r="J79" s="17">
        <f t="shared" si="3"/>
        <v>-1.0160489068527903</v>
      </c>
      <c r="K79" s="19">
        <v>0</v>
      </c>
      <c r="L79" s="17">
        <v>8.6077357337179E-2</v>
      </c>
      <c r="M79" s="19">
        <v>0</v>
      </c>
      <c r="N79" s="17">
        <v>5.7991014598232998E-2</v>
      </c>
      <c r="O79" s="19">
        <v>-2.4610757827758789E-4</v>
      </c>
      <c r="P79" s="17">
        <v>0</v>
      </c>
      <c r="Q79" s="19">
        <v>0</v>
      </c>
      <c r="R79" s="17">
        <v>0</v>
      </c>
      <c r="S79" s="19">
        <v>0</v>
      </c>
    </row>
    <row r="80" spans="1:19" x14ac:dyDescent="0.25">
      <c r="A80" s="3">
        <v>79</v>
      </c>
      <c r="B80" s="23">
        <v>103.32712329840211</v>
      </c>
      <c r="C80" s="18">
        <v>44797.478946759256</v>
      </c>
      <c r="D80" s="23">
        <v>1.00265005674678</v>
      </c>
      <c r="E80" s="19">
        <v>26</v>
      </c>
      <c r="F80" s="17">
        <v>1</v>
      </c>
      <c r="G80" s="19">
        <v>-12.509724617004395</v>
      </c>
      <c r="H80" s="17">
        <v>0.53890488201141362</v>
      </c>
      <c r="I80" s="17">
        <f t="shared" si="2"/>
        <v>-2.0015559387207031</v>
      </c>
      <c r="J80" s="17">
        <f t="shared" si="3"/>
        <v>-1.0786482669955249</v>
      </c>
      <c r="K80" s="19">
        <v>0</v>
      </c>
      <c r="L80" s="17">
        <v>8.9561640663126996E-2</v>
      </c>
      <c r="M80" s="19">
        <v>0</v>
      </c>
      <c r="N80" s="17">
        <v>5.9851164809477997E-2</v>
      </c>
      <c r="O80" s="19">
        <v>-5.29137859120965E-3</v>
      </c>
      <c r="P80" s="17">
        <v>0</v>
      </c>
      <c r="Q80" s="19">
        <v>0</v>
      </c>
      <c r="R80" s="17">
        <v>0</v>
      </c>
      <c r="S80" s="19">
        <v>0</v>
      </c>
    </row>
    <row r="81" spans="1:19" x14ac:dyDescent="0.25">
      <c r="A81" s="3">
        <v>80</v>
      </c>
      <c r="B81" s="23">
        <v>104.33115870624501</v>
      </c>
      <c r="C81" s="18">
        <v>44797.478958333333</v>
      </c>
      <c r="D81" s="23">
        <v>2.0066855587499242</v>
      </c>
      <c r="E81" s="19">
        <v>26</v>
      </c>
      <c r="F81" s="17">
        <v>1</v>
      </c>
      <c r="G81" s="19">
        <v>-12.505971908569336</v>
      </c>
      <c r="H81" s="17">
        <v>0.53828778196334837</v>
      </c>
      <c r="I81" s="17">
        <f t="shared" si="2"/>
        <v>-2.0009555053710937</v>
      </c>
      <c r="J81" s="17">
        <f t="shared" si="3"/>
        <v>-1.0770899007935568</v>
      </c>
      <c r="K81" s="19">
        <v>0</v>
      </c>
      <c r="L81" s="17">
        <v>9.3049990327769005E-2</v>
      </c>
      <c r="M81" s="19">
        <v>0</v>
      </c>
      <c r="N81" s="17">
        <v>6.1709301930754003E-2</v>
      </c>
      <c r="O81" s="19">
        <v>-5.414438433945179E-3</v>
      </c>
      <c r="P81" s="17">
        <v>0</v>
      </c>
      <c r="Q81" s="19">
        <v>0</v>
      </c>
      <c r="R81" s="17">
        <v>0</v>
      </c>
      <c r="S81" s="19">
        <v>0</v>
      </c>
    </row>
    <row r="82" spans="1:19" x14ac:dyDescent="0.25">
      <c r="A82" s="3">
        <v>81</v>
      </c>
      <c r="B82" s="23">
        <v>105.32529996276553</v>
      </c>
      <c r="C82" s="18">
        <v>44797.47896990741</v>
      </c>
      <c r="D82" s="23">
        <v>3.0008267246903988</v>
      </c>
      <c r="E82" s="19">
        <v>26</v>
      </c>
      <c r="F82" s="17">
        <v>1</v>
      </c>
      <c r="G82" s="19">
        <v>-12.507847785949707</v>
      </c>
      <c r="H82" s="17">
        <v>0.53798106281280522</v>
      </c>
      <c r="I82" s="17">
        <f t="shared" si="2"/>
        <v>-2.0012556457519532</v>
      </c>
      <c r="J82" s="17">
        <f t="shared" si="3"/>
        <v>-1.0766376392617627</v>
      </c>
      <c r="K82" s="19">
        <v>0</v>
      </c>
      <c r="L82" s="17">
        <v>9.6503993109788994E-2</v>
      </c>
      <c r="M82" s="19">
        <v>0</v>
      </c>
      <c r="N82" s="17">
        <v>6.3547788796481999E-2</v>
      </c>
      <c r="O82" s="19">
        <v>-1.8458366685081273E-4</v>
      </c>
      <c r="P82" s="17">
        <v>0</v>
      </c>
      <c r="Q82" s="19">
        <v>0</v>
      </c>
      <c r="R82" s="17">
        <v>0</v>
      </c>
      <c r="S82" s="19">
        <v>0</v>
      </c>
    </row>
    <row r="83" spans="1:19" x14ac:dyDescent="0.25">
      <c r="A83" s="3">
        <v>82</v>
      </c>
      <c r="B83" s="23">
        <v>106.33215282749336</v>
      </c>
      <c r="C83" s="18">
        <v>44797.478981481479</v>
      </c>
      <c r="D83" s="23">
        <v>1.0039952479494181</v>
      </c>
      <c r="E83" s="19">
        <v>27</v>
      </c>
      <c r="F83" s="17">
        <v>1</v>
      </c>
      <c r="G83" s="19">
        <v>-13.755429267883301</v>
      </c>
      <c r="H83" s="17">
        <v>0.5124306886100769</v>
      </c>
      <c r="I83" s="17">
        <f t="shared" si="2"/>
        <v>-2.2008686828613282</v>
      </c>
      <c r="J83" s="17">
        <f t="shared" si="3"/>
        <v>-1.1277926546989834</v>
      </c>
      <c r="K83" s="19">
        <v>0</v>
      </c>
      <c r="L83" s="17">
        <v>0.100341410915899</v>
      </c>
      <c r="M83" s="19">
        <v>0</v>
      </c>
      <c r="N83" s="17">
        <v>6.5493029078992002E-2</v>
      </c>
      <c r="O83" s="19">
        <v>-5.2298428490757942E-3</v>
      </c>
      <c r="P83" s="17">
        <v>0</v>
      </c>
      <c r="Q83" s="19">
        <v>0</v>
      </c>
      <c r="R83" s="17">
        <v>0</v>
      </c>
      <c r="S83" s="19">
        <v>0</v>
      </c>
    </row>
    <row r="84" spans="1:19" x14ac:dyDescent="0.25">
      <c r="A84" s="3">
        <v>83</v>
      </c>
      <c r="B84" s="23">
        <v>107.33711071780202</v>
      </c>
      <c r="C84" s="18">
        <v>44797.478993055549</v>
      </c>
      <c r="D84" s="23">
        <v>2.0089531382580712</v>
      </c>
      <c r="E84" s="19">
        <v>27</v>
      </c>
      <c r="F84" s="17">
        <v>1</v>
      </c>
      <c r="G84" s="19">
        <v>-13.757305145263672</v>
      </c>
      <c r="H84" s="17">
        <v>0.51181629028320308</v>
      </c>
      <c r="I84" s="17">
        <f t="shared" si="2"/>
        <v>-2.2011688232421873</v>
      </c>
      <c r="J84" s="17">
        <f t="shared" si="3"/>
        <v>-1.1265940613988599</v>
      </c>
      <c r="K84" s="19">
        <v>0</v>
      </c>
      <c r="L84" s="17">
        <v>0.104181729784359</v>
      </c>
      <c r="M84" s="19">
        <v>0</v>
      </c>
      <c r="N84" s="17">
        <v>6.7434148160860005E-2</v>
      </c>
      <c r="O84" s="19">
        <v>-5.3529022261500359E-3</v>
      </c>
      <c r="P84" s="17">
        <v>0</v>
      </c>
      <c r="Q84" s="19">
        <v>0</v>
      </c>
      <c r="R84" s="17">
        <v>0</v>
      </c>
      <c r="S84" s="19">
        <v>0</v>
      </c>
    </row>
    <row r="85" spans="1:19" x14ac:dyDescent="0.25">
      <c r="A85" s="3">
        <v>84</v>
      </c>
      <c r="B85" s="23">
        <v>108.34198901761836</v>
      </c>
      <c r="C85" s="18">
        <v>44797.479004629633</v>
      </c>
      <c r="D85" s="23">
        <v>3.0138314380744049</v>
      </c>
      <c r="E85" s="19">
        <v>27</v>
      </c>
      <c r="F85" s="17">
        <v>1</v>
      </c>
      <c r="G85" s="19">
        <v>-13.755429267883301</v>
      </c>
      <c r="H85" s="17">
        <v>0.51120009111404419</v>
      </c>
      <c r="I85" s="17">
        <f t="shared" si="2"/>
        <v>-2.2008686828613282</v>
      </c>
      <c r="J85" s="17">
        <f t="shared" si="3"/>
        <v>-1.1250842712087574</v>
      </c>
      <c r="K85" s="19">
        <v>0</v>
      </c>
      <c r="L85" s="17">
        <v>0.108021809134312</v>
      </c>
      <c r="M85" s="19">
        <v>0</v>
      </c>
      <c r="N85" s="17">
        <v>6.9372988832090005E-2</v>
      </c>
      <c r="O85" s="19">
        <v>-1.8458366685081273E-4</v>
      </c>
      <c r="P85" s="17">
        <v>0</v>
      </c>
      <c r="Q85" s="19">
        <v>0</v>
      </c>
      <c r="R85" s="17">
        <v>0</v>
      </c>
      <c r="S85" s="19">
        <v>0</v>
      </c>
    </row>
    <row r="86" spans="1:19" x14ac:dyDescent="0.25">
      <c r="A86" s="3">
        <v>85</v>
      </c>
      <c r="B86" s="23">
        <v>109.34888397449438</v>
      </c>
      <c r="C86" s="18">
        <v>44797.479016203702</v>
      </c>
      <c r="D86" s="23">
        <v>1.0040141870531409</v>
      </c>
      <c r="E86" s="19">
        <v>28</v>
      </c>
      <c r="F86" s="17">
        <v>1</v>
      </c>
      <c r="G86" s="19">
        <v>-15.008639335632324</v>
      </c>
      <c r="H86" s="17">
        <v>0.48534479906082151</v>
      </c>
      <c r="I86" s="17">
        <f t="shared" si="2"/>
        <v>-2.4013822937011717</v>
      </c>
      <c r="J86" s="17">
        <f t="shared" si="3"/>
        <v>-1.1654984068046099</v>
      </c>
      <c r="K86" s="19">
        <v>0</v>
      </c>
      <c r="L86" s="17">
        <v>0.112218238660308</v>
      </c>
      <c r="M86" s="19">
        <v>0</v>
      </c>
      <c r="N86" s="17">
        <v>7.1382823235989004E-2</v>
      </c>
      <c r="O86" s="19">
        <v>-4.9222109373658895E-4</v>
      </c>
      <c r="P86" s="17">
        <v>0</v>
      </c>
      <c r="Q86" s="19">
        <v>0</v>
      </c>
      <c r="R86" s="17">
        <v>0</v>
      </c>
      <c r="S86" s="19">
        <v>0</v>
      </c>
    </row>
    <row r="87" spans="1:19" x14ac:dyDescent="0.25">
      <c r="A87" s="3">
        <v>86</v>
      </c>
      <c r="B87" s="23">
        <v>110.35281543190209</v>
      </c>
      <c r="C87" s="18">
        <v>44797.479027777779</v>
      </c>
      <c r="D87" s="23">
        <v>2.0079456405225722</v>
      </c>
      <c r="E87" s="19">
        <v>28</v>
      </c>
      <c r="F87" s="17">
        <v>1</v>
      </c>
      <c r="G87" s="19">
        <v>-15.008639335632324</v>
      </c>
      <c r="H87" s="17">
        <v>0.48472953011512754</v>
      </c>
      <c r="I87" s="17">
        <f t="shared" si="2"/>
        <v>-2.4013822937011717</v>
      </c>
      <c r="J87" s="17">
        <f t="shared" si="3"/>
        <v>-1.1640209108525561</v>
      </c>
      <c r="K87" s="19">
        <v>0</v>
      </c>
      <c r="L87" s="17">
        <v>0.11640331242763501</v>
      </c>
      <c r="M87" s="19">
        <v>0</v>
      </c>
      <c r="N87" s="17">
        <v>7.3383110897258005E-2</v>
      </c>
      <c r="O87" s="19">
        <v>-6.152748828753829E-4</v>
      </c>
      <c r="P87" s="17">
        <v>0</v>
      </c>
      <c r="Q87" s="19">
        <v>0</v>
      </c>
      <c r="R87" s="17">
        <v>0</v>
      </c>
      <c r="S87" s="19">
        <v>0</v>
      </c>
    </row>
    <row r="88" spans="1:19" x14ac:dyDescent="0.25">
      <c r="A88" s="3">
        <v>87</v>
      </c>
      <c r="B88" s="23">
        <v>111.35867682440004</v>
      </c>
      <c r="C88" s="18">
        <v>44797.479039351849</v>
      </c>
      <c r="D88" s="23">
        <v>3.01380703302054</v>
      </c>
      <c r="E88" s="19">
        <v>28</v>
      </c>
      <c r="F88" s="17">
        <v>1</v>
      </c>
      <c r="G88" s="19">
        <v>-15.008639335632324</v>
      </c>
      <c r="H88" s="17">
        <v>0.48411426116943357</v>
      </c>
      <c r="I88" s="17">
        <f t="shared" si="2"/>
        <v>-2.4013822937011717</v>
      </c>
      <c r="J88" s="17">
        <f t="shared" si="3"/>
        <v>-1.1625434149005025</v>
      </c>
      <c r="K88" s="19">
        <v>0</v>
      </c>
      <c r="L88" s="17">
        <v>0.12059638183013</v>
      </c>
      <c r="M88" s="19">
        <v>0</v>
      </c>
      <c r="N88" s="17">
        <v>7.5384782461796002E-2</v>
      </c>
      <c r="O88" s="19">
        <v>-2.4610757827758789E-4</v>
      </c>
      <c r="P88" s="17">
        <v>0</v>
      </c>
      <c r="Q88" s="19">
        <v>0</v>
      </c>
      <c r="R88" s="17">
        <v>0</v>
      </c>
      <c r="S88" s="19">
        <v>0</v>
      </c>
    </row>
    <row r="89" spans="1:19" x14ac:dyDescent="0.25">
      <c r="A89" s="3">
        <v>88</v>
      </c>
      <c r="B89" s="23">
        <v>112.36558463039408</v>
      </c>
      <c r="C89" s="18">
        <v>44797.479050925926</v>
      </c>
      <c r="D89" s="23">
        <v>1.0037377052819261</v>
      </c>
      <c r="E89" s="19">
        <v>29</v>
      </c>
      <c r="F89" s="17">
        <v>1</v>
      </c>
      <c r="G89" s="19">
        <v>-16.258096694946289</v>
      </c>
      <c r="H89" s="17">
        <v>0.45887240695953369</v>
      </c>
      <c r="I89" s="17">
        <f t="shared" si="2"/>
        <v>-2.6012954711914063</v>
      </c>
      <c r="J89" s="17">
        <f t="shared" si="3"/>
        <v>-1.193662714078535</v>
      </c>
      <c r="K89" s="19">
        <v>0</v>
      </c>
      <c r="L89" s="17">
        <v>0.12513351764752501</v>
      </c>
      <c r="M89" s="19">
        <v>0</v>
      </c>
      <c r="N89" s="17">
        <v>7.7435712132764997E-2</v>
      </c>
      <c r="O89" s="19">
        <v>-5.1683187484741211E-3</v>
      </c>
      <c r="P89" s="17">
        <v>0</v>
      </c>
      <c r="Q89" s="19">
        <v>0</v>
      </c>
      <c r="R89" s="17">
        <v>0</v>
      </c>
      <c r="S89" s="19">
        <v>0</v>
      </c>
    </row>
    <row r="90" spans="1:19" x14ac:dyDescent="0.25">
      <c r="A90" s="3">
        <v>89</v>
      </c>
      <c r="B90" s="23">
        <v>113.36952606843268</v>
      </c>
      <c r="C90" s="18">
        <v>44797.479062500002</v>
      </c>
      <c r="D90" s="23">
        <v>2.0076791583575302</v>
      </c>
      <c r="E90" s="19">
        <v>29</v>
      </c>
      <c r="F90" s="17">
        <v>1</v>
      </c>
      <c r="G90" s="19">
        <v>-16.256219863891602</v>
      </c>
      <c r="H90" s="17">
        <v>0.45794858776092529</v>
      </c>
      <c r="I90" s="17">
        <f t="shared" si="2"/>
        <v>-2.6009951782226564</v>
      </c>
      <c r="J90" s="17">
        <f t="shared" si="3"/>
        <v>-1.1911220686400417</v>
      </c>
      <c r="K90" s="19">
        <v>0</v>
      </c>
      <c r="L90" s="17">
        <v>0.129667443565532</v>
      </c>
      <c r="M90" s="19">
        <v>0</v>
      </c>
      <c r="N90" s="17">
        <v>7.9478960391966003E-2</v>
      </c>
      <c r="O90" s="19">
        <v>-5.3529022261500359E-3</v>
      </c>
      <c r="P90" s="17">
        <v>0</v>
      </c>
      <c r="Q90" s="19">
        <v>0</v>
      </c>
      <c r="R90" s="17">
        <v>0</v>
      </c>
      <c r="S90" s="19">
        <v>0</v>
      </c>
    </row>
    <row r="91" spans="1:19" x14ac:dyDescent="0.25">
      <c r="A91" s="3">
        <v>90</v>
      </c>
      <c r="B91" s="23">
        <v>114.3744921166728</v>
      </c>
      <c r="C91" s="18">
        <v>44797.479074074072</v>
      </c>
      <c r="D91" s="23">
        <v>3.0126452778444102</v>
      </c>
      <c r="E91" s="19">
        <v>29</v>
      </c>
      <c r="F91" s="17">
        <v>1</v>
      </c>
      <c r="G91" s="19">
        <v>-16.258096694946289</v>
      </c>
      <c r="H91" s="17">
        <v>0.45733418989181518</v>
      </c>
      <c r="I91" s="17">
        <f t="shared" si="2"/>
        <v>-2.6012954711914063</v>
      </c>
      <c r="J91" s="17">
        <f t="shared" si="3"/>
        <v>-1.1896613569865695</v>
      </c>
      <c r="K91" s="19">
        <v>0</v>
      </c>
      <c r="L91" s="17">
        <v>0.13420594690325999</v>
      </c>
      <c r="M91" s="19">
        <v>0</v>
      </c>
      <c r="N91" s="17">
        <v>8.1521209205953002E-2</v>
      </c>
      <c r="O91" s="19">
        <v>-3.0764340772293508E-4</v>
      </c>
      <c r="P91" s="17">
        <v>0</v>
      </c>
      <c r="Q91" s="19">
        <v>0</v>
      </c>
      <c r="R91" s="17">
        <v>0</v>
      </c>
      <c r="S91" s="19">
        <v>0</v>
      </c>
    </row>
    <row r="92" spans="1:19" x14ac:dyDescent="0.25">
      <c r="A92" s="3">
        <v>91</v>
      </c>
      <c r="B92" s="23">
        <v>115.38131197124352</v>
      </c>
      <c r="C92" s="18">
        <v>44797.479085648149</v>
      </c>
      <c r="D92" s="23">
        <v>1.003782910447494</v>
      </c>
      <c r="E92" s="19">
        <v>30</v>
      </c>
      <c r="F92" s="17">
        <v>1</v>
      </c>
      <c r="G92" s="19">
        <v>-17.507553100585938</v>
      </c>
      <c r="H92" s="17">
        <v>0.43147706627845767</v>
      </c>
      <c r="I92" s="17">
        <f t="shared" si="2"/>
        <v>-2.80120849609375</v>
      </c>
      <c r="J92" s="17">
        <f t="shared" si="3"/>
        <v>-1.2086572239288218</v>
      </c>
      <c r="K92" s="19">
        <v>0</v>
      </c>
      <c r="L92" s="17">
        <v>0.13908754778466101</v>
      </c>
      <c r="M92" s="19">
        <v>0</v>
      </c>
      <c r="N92" s="17">
        <v>8.3590137207911003E-2</v>
      </c>
      <c r="O92" s="19">
        <v>-3.6916733370162547E-4</v>
      </c>
      <c r="P92" s="17">
        <v>0</v>
      </c>
      <c r="Q92" s="19">
        <v>0</v>
      </c>
      <c r="R92" s="17">
        <v>0</v>
      </c>
      <c r="S92" s="19">
        <v>0</v>
      </c>
    </row>
    <row r="93" spans="1:19" x14ac:dyDescent="0.25">
      <c r="A93" s="3">
        <v>92</v>
      </c>
      <c r="B93" s="23">
        <v>116.3842547644024</v>
      </c>
      <c r="C93" s="18">
        <v>44797.479097222225</v>
      </c>
      <c r="D93" s="23">
        <v>2.006725707544637</v>
      </c>
      <c r="E93" s="19">
        <v>30</v>
      </c>
      <c r="F93" s="17">
        <v>1</v>
      </c>
      <c r="G93" s="19">
        <v>-17.509429931640625</v>
      </c>
      <c r="H93" s="17">
        <v>0.43086269821166995</v>
      </c>
      <c r="I93" s="17">
        <f t="shared" si="2"/>
        <v>-2.8015087890624999</v>
      </c>
      <c r="J93" s="17">
        <f t="shared" si="3"/>
        <v>-1.2070656359191767</v>
      </c>
      <c r="K93" s="19">
        <v>0</v>
      </c>
      <c r="L93" s="17">
        <v>0.143965221129006</v>
      </c>
      <c r="M93" s="19">
        <v>0</v>
      </c>
      <c r="N93" s="17">
        <v>8.5651801513515993E-2</v>
      </c>
      <c r="O93" s="19">
        <v>-4.9222109373658895E-4</v>
      </c>
      <c r="P93" s="17">
        <v>0</v>
      </c>
      <c r="Q93" s="19">
        <v>0</v>
      </c>
      <c r="R93" s="17">
        <v>0</v>
      </c>
      <c r="S93" s="19">
        <v>0</v>
      </c>
    </row>
    <row r="94" spans="1:19" x14ac:dyDescent="0.25">
      <c r="A94" s="3">
        <v>93</v>
      </c>
      <c r="B94" s="23">
        <v>117.39309708855004</v>
      </c>
      <c r="C94" s="18">
        <v>44797.479108796295</v>
      </c>
      <c r="D94" s="23">
        <v>3.0155681254945201</v>
      </c>
      <c r="E94" s="19">
        <v>30</v>
      </c>
      <c r="F94" s="17">
        <v>1</v>
      </c>
      <c r="G94" s="19">
        <v>-17.503801345825195</v>
      </c>
      <c r="H94" s="17">
        <v>0.42993707817077637</v>
      </c>
      <c r="I94" s="17">
        <f t="shared" si="2"/>
        <v>-2.8006082153320313</v>
      </c>
      <c r="J94" s="17">
        <f t="shared" si="3"/>
        <v>-1.2040853132009259</v>
      </c>
      <c r="K94" s="19">
        <v>0</v>
      </c>
      <c r="L94" s="17">
        <v>0.148871462050191</v>
      </c>
      <c r="M94" s="19">
        <v>0</v>
      </c>
      <c r="N94" s="17">
        <v>8.7721149899645995E-2</v>
      </c>
      <c r="O94" s="19">
        <v>-3.6916733370162547E-4</v>
      </c>
      <c r="P94" s="17">
        <v>0</v>
      </c>
      <c r="Q94" s="19">
        <v>0</v>
      </c>
      <c r="R94" s="17">
        <v>0</v>
      </c>
      <c r="S94" s="19">
        <v>0</v>
      </c>
    </row>
    <row r="95" spans="1:19" x14ac:dyDescent="0.25">
      <c r="A95" s="3">
        <v>94</v>
      </c>
      <c r="B95" s="23">
        <v>118.40088061587264</v>
      </c>
      <c r="C95" s="18">
        <v>44797.479120370364</v>
      </c>
      <c r="D95" s="23">
        <v>1.004904828667686</v>
      </c>
      <c r="E95" s="19">
        <v>31</v>
      </c>
      <c r="F95" s="17">
        <v>1</v>
      </c>
      <c r="G95" s="19">
        <v>-18.758886337280273</v>
      </c>
      <c r="H95" s="17">
        <v>0.40377500690460205</v>
      </c>
      <c r="I95" s="17">
        <f t="shared" si="2"/>
        <v>-3.0014218139648436</v>
      </c>
      <c r="J95" s="17">
        <f t="shared" si="3"/>
        <v>-1.2118991136572779</v>
      </c>
      <c r="K95" s="19">
        <v>0</v>
      </c>
      <c r="L95" s="17">
        <v>0.154107418376183</v>
      </c>
      <c r="M95" s="19">
        <v>0</v>
      </c>
      <c r="N95" s="17">
        <v>8.9791443470803006E-2</v>
      </c>
      <c r="O95" s="19">
        <v>-5.5374501971527934E-4</v>
      </c>
      <c r="P95" s="17">
        <v>0</v>
      </c>
      <c r="Q95" s="19">
        <v>0</v>
      </c>
      <c r="R95" s="17">
        <v>0</v>
      </c>
      <c r="S95" s="19">
        <v>0</v>
      </c>
    </row>
    <row r="96" spans="1:19" x14ac:dyDescent="0.25">
      <c r="A96" s="3">
        <v>95</v>
      </c>
      <c r="B96" s="23">
        <v>119.40389624826808</v>
      </c>
      <c r="C96" s="18">
        <v>44797.479131944441</v>
      </c>
      <c r="D96" s="23">
        <v>2.0079204610631161</v>
      </c>
      <c r="E96" s="19">
        <v>31</v>
      </c>
      <c r="F96" s="17">
        <v>1</v>
      </c>
      <c r="G96" s="19">
        <v>-18.755134582519531</v>
      </c>
      <c r="H96" s="17">
        <v>0.40254263836860654</v>
      </c>
      <c r="I96" s="17">
        <f t="shared" si="2"/>
        <v>-3.0008215332031249</v>
      </c>
      <c r="J96" s="17">
        <f t="shared" si="3"/>
        <v>-1.207958617248913</v>
      </c>
      <c r="K96" s="19">
        <v>0</v>
      </c>
      <c r="L96" s="17">
        <v>0.15933360001866601</v>
      </c>
      <c r="M96" s="19">
        <v>0</v>
      </c>
      <c r="N96" s="17">
        <v>9.1851647556744007E-2</v>
      </c>
      <c r="O96" s="19">
        <v>-7.9985859338194132E-4</v>
      </c>
      <c r="P96" s="17">
        <v>0</v>
      </c>
      <c r="Q96" s="19">
        <v>0</v>
      </c>
      <c r="R96" s="17">
        <v>0</v>
      </c>
      <c r="S96" s="19">
        <v>0</v>
      </c>
    </row>
    <row r="97" spans="1:19" x14ac:dyDescent="0.25">
      <c r="A97" s="3">
        <v>96</v>
      </c>
      <c r="B97" s="23">
        <v>120.41083872600794</v>
      </c>
      <c r="C97" s="18">
        <v>44797.479143518518</v>
      </c>
      <c r="D97" s="23">
        <v>3.014862942741245</v>
      </c>
      <c r="E97" s="19">
        <v>31</v>
      </c>
      <c r="F97" s="17">
        <v>1</v>
      </c>
      <c r="G97" s="19">
        <v>-18.755134582519531</v>
      </c>
      <c r="H97" s="17">
        <v>0.40161974985122678</v>
      </c>
      <c r="I97" s="17">
        <f t="shared" si="2"/>
        <v>-3.0008215332031249</v>
      </c>
      <c r="J97" s="17">
        <f t="shared" si="3"/>
        <v>-1.205189193513214</v>
      </c>
      <c r="K97" s="19">
        <v>0</v>
      </c>
      <c r="L97" s="17">
        <v>0.16458015200846901</v>
      </c>
      <c r="M97" s="19">
        <v>0</v>
      </c>
      <c r="N97" s="17">
        <v>9.3914541723948003E-2</v>
      </c>
      <c r="O97" s="19">
        <v>-3.6916136741638184E-4</v>
      </c>
      <c r="P97" s="17">
        <v>0</v>
      </c>
      <c r="Q97" s="19">
        <v>0</v>
      </c>
      <c r="R97" s="17">
        <v>0</v>
      </c>
      <c r="S97" s="19">
        <v>0</v>
      </c>
    </row>
    <row r="98" spans="1:19" x14ac:dyDescent="0.25">
      <c r="A98" s="3">
        <v>97</v>
      </c>
      <c r="B98" s="23">
        <v>121.4157415432976</v>
      </c>
      <c r="C98" s="18">
        <v>44797.479155092595</v>
      </c>
      <c r="D98" s="23">
        <v>1.0016758731306681</v>
      </c>
      <c r="E98" s="19">
        <v>32</v>
      </c>
      <c r="F98" s="17">
        <v>1</v>
      </c>
      <c r="G98" s="19">
        <v>-20.010221481323242</v>
      </c>
      <c r="H98" s="17">
        <v>0.37515003012657167</v>
      </c>
      <c r="I98" s="17">
        <f t="shared" si="2"/>
        <v>-3.2016354370117188</v>
      </c>
      <c r="J98" s="17">
        <f t="shared" si="3"/>
        <v>-1.2010936306492457</v>
      </c>
      <c r="K98" s="19">
        <v>0</v>
      </c>
      <c r="L98" s="17">
        <v>0.17015283288883301</v>
      </c>
      <c r="M98" s="19">
        <v>0</v>
      </c>
      <c r="N98" s="17">
        <v>9.5961601549329006E-2</v>
      </c>
      <c r="O98" s="19">
        <v>-5.414432380348444E-3</v>
      </c>
      <c r="P98" s="17">
        <v>0</v>
      </c>
      <c r="Q98" s="19">
        <v>0</v>
      </c>
      <c r="R98" s="17">
        <v>0</v>
      </c>
      <c r="S98" s="19">
        <v>0</v>
      </c>
    </row>
    <row r="99" spans="1:19" x14ac:dyDescent="0.25">
      <c r="A99" s="3">
        <v>98</v>
      </c>
      <c r="B99" s="23">
        <v>122.4215910264902</v>
      </c>
      <c r="C99" s="18">
        <v>44797.479166666664</v>
      </c>
      <c r="D99" s="23">
        <v>2.0075253563232378</v>
      </c>
      <c r="E99" s="19">
        <v>32</v>
      </c>
      <c r="F99" s="17">
        <v>1</v>
      </c>
      <c r="G99" s="19">
        <v>-20.008344650268555</v>
      </c>
      <c r="H99" s="17">
        <v>0.37391856155395509</v>
      </c>
      <c r="I99" s="17">
        <f t="shared" si="2"/>
        <v>-3.2013351440429689</v>
      </c>
      <c r="J99" s="17">
        <f t="shared" si="3"/>
        <v>-1.1970386321126705</v>
      </c>
      <c r="K99" s="19">
        <v>0</v>
      </c>
      <c r="L99" s="17">
        <v>0.17574349923444799</v>
      </c>
      <c r="M99" s="19">
        <v>0</v>
      </c>
      <c r="N99" s="17">
        <v>9.8002119963417997E-2</v>
      </c>
      <c r="O99" s="19">
        <v>-5.6605460122227669E-3</v>
      </c>
      <c r="P99" s="17">
        <v>0</v>
      </c>
      <c r="Q99" s="19">
        <v>0</v>
      </c>
      <c r="R99" s="17">
        <v>0</v>
      </c>
      <c r="S99" s="19">
        <v>0</v>
      </c>
    </row>
    <row r="100" spans="1:19" x14ac:dyDescent="0.25">
      <c r="A100" s="3">
        <v>99</v>
      </c>
      <c r="B100" s="23">
        <v>123.42456070580822</v>
      </c>
      <c r="C100" s="18">
        <v>44797.479178240741</v>
      </c>
      <c r="D100" s="23">
        <v>3.010494948999503</v>
      </c>
      <c r="E100" s="19">
        <v>32</v>
      </c>
      <c r="F100" s="17">
        <v>1</v>
      </c>
      <c r="G100" s="19">
        <v>-20.008344650268555</v>
      </c>
      <c r="H100" s="17">
        <v>0.37330329260826112</v>
      </c>
      <c r="I100" s="17">
        <f t="shared" si="2"/>
        <v>-3.2013351440429689</v>
      </c>
      <c r="J100" s="17">
        <f t="shared" si="3"/>
        <v>-1.1950689500137821</v>
      </c>
      <c r="K100" s="19">
        <v>0</v>
      </c>
      <c r="L100" s="17">
        <v>0.181318090218757</v>
      </c>
      <c r="M100" s="19">
        <v>0</v>
      </c>
      <c r="N100" s="17">
        <v>0.10003066083065</v>
      </c>
      <c r="O100" s="19">
        <v>-4.306912305764854E-4</v>
      </c>
      <c r="P100" s="17">
        <v>0</v>
      </c>
      <c r="Q100" s="19">
        <v>0</v>
      </c>
      <c r="R100" s="17">
        <v>0</v>
      </c>
      <c r="S100" s="19">
        <v>0</v>
      </c>
    </row>
    <row r="101" spans="1:19" x14ac:dyDescent="0.25">
      <c r="A101" s="3">
        <v>100</v>
      </c>
      <c r="B101" s="23">
        <v>124.42849591852809</v>
      </c>
      <c r="C101" s="18">
        <v>44797.479189814818</v>
      </c>
      <c r="D101" s="23">
        <v>1.001030785754947</v>
      </c>
      <c r="E101" s="19">
        <v>33</v>
      </c>
      <c r="F101" s="17">
        <v>1</v>
      </c>
      <c r="G101" s="19">
        <v>-21.255926132202148</v>
      </c>
      <c r="H101" s="17">
        <v>0.34652235071182252</v>
      </c>
      <c r="I101" s="17">
        <f t="shared" si="2"/>
        <v>-3.4009481811523439</v>
      </c>
      <c r="J101" s="17">
        <f t="shared" si="3"/>
        <v>-1.1785045583820075</v>
      </c>
      <c r="K101" s="19">
        <v>0</v>
      </c>
      <c r="L101" s="17">
        <v>0.187245374921408</v>
      </c>
      <c r="M101" s="19">
        <v>0</v>
      </c>
      <c r="N101" s="17">
        <v>0.102028772543966</v>
      </c>
      <c r="O101" s="19">
        <v>-6.152748828753829E-4</v>
      </c>
      <c r="P101" s="17">
        <v>0</v>
      </c>
      <c r="Q101" s="19">
        <v>0</v>
      </c>
      <c r="R101" s="17">
        <v>0</v>
      </c>
      <c r="S101" s="19">
        <v>0</v>
      </c>
    </row>
    <row r="102" spans="1:19" x14ac:dyDescent="0.25">
      <c r="A102" s="3">
        <v>101</v>
      </c>
      <c r="B102" s="23">
        <v>125.4324063015778</v>
      </c>
      <c r="C102" s="18">
        <v>44797.479201388887</v>
      </c>
      <c r="D102" s="23">
        <v>2.0049414541496762</v>
      </c>
      <c r="E102" s="19">
        <v>33</v>
      </c>
      <c r="F102" s="17">
        <v>1</v>
      </c>
      <c r="G102" s="19">
        <v>-21.257801055908203</v>
      </c>
      <c r="H102" s="17">
        <v>0.34498506340980528</v>
      </c>
      <c r="I102" s="17">
        <f t="shared" si="2"/>
        <v>-3.4012481689453127</v>
      </c>
      <c r="J102" s="17">
        <f t="shared" si="3"/>
        <v>-1.1733798152360828</v>
      </c>
      <c r="K102" s="19">
        <v>0</v>
      </c>
      <c r="L102" s="17">
        <v>0.193173530540451</v>
      </c>
      <c r="M102" s="19">
        <v>0</v>
      </c>
      <c r="N102" s="17">
        <v>0.104017045960557</v>
      </c>
      <c r="O102" s="19">
        <v>-9.2291238252073526E-4</v>
      </c>
      <c r="P102" s="17">
        <v>0</v>
      </c>
      <c r="Q102" s="19">
        <v>0</v>
      </c>
      <c r="R102" s="17">
        <v>0</v>
      </c>
      <c r="S102" s="19">
        <v>0</v>
      </c>
    </row>
    <row r="103" spans="1:19" x14ac:dyDescent="0.25">
      <c r="A103" s="3">
        <v>102</v>
      </c>
      <c r="B103" s="23">
        <v>126.44041835373471</v>
      </c>
      <c r="C103" s="18">
        <v>44797.479212962957</v>
      </c>
      <c r="D103" s="23">
        <v>3.0129536004668629</v>
      </c>
      <c r="E103" s="19">
        <v>33</v>
      </c>
      <c r="F103" s="17">
        <v>1</v>
      </c>
      <c r="G103" s="19">
        <v>-21.257801055908203</v>
      </c>
      <c r="H103" s="17">
        <v>0.34375449571609495</v>
      </c>
      <c r="I103" s="17">
        <f t="shared" si="2"/>
        <v>-3.4012481689453127</v>
      </c>
      <c r="J103" s="17">
        <f t="shared" si="3"/>
        <v>-1.1691943491210872</v>
      </c>
      <c r="K103" s="19">
        <v>0</v>
      </c>
      <c r="L103" s="17">
        <v>0.19912590125816201</v>
      </c>
      <c r="M103" s="19">
        <v>0</v>
      </c>
      <c r="N103" s="17">
        <v>0.10600577529058</v>
      </c>
      <c r="O103" s="19">
        <v>-5.5375101510435343E-4</v>
      </c>
      <c r="P103" s="17">
        <v>0</v>
      </c>
      <c r="Q103" s="19">
        <v>0</v>
      </c>
      <c r="R103" s="17">
        <v>0</v>
      </c>
      <c r="S103" s="19">
        <v>0</v>
      </c>
    </row>
    <row r="104" spans="1:19" x14ac:dyDescent="0.25">
      <c r="A104" s="3">
        <v>103</v>
      </c>
      <c r="B104" s="23">
        <v>127.4442566078672</v>
      </c>
      <c r="C104" s="18">
        <v>44797.479224537034</v>
      </c>
      <c r="D104" s="23">
        <v>1.0006045544214159</v>
      </c>
      <c r="E104" s="19">
        <v>34</v>
      </c>
      <c r="F104" s="17">
        <v>1</v>
      </c>
      <c r="G104" s="19">
        <v>-22.509136199951172</v>
      </c>
      <c r="H104" s="17">
        <v>0.31666770620346069</v>
      </c>
      <c r="I104" s="17">
        <f t="shared" si="2"/>
        <v>-3.6014617919921874</v>
      </c>
      <c r="J104" s="17">
        <f t="shared" si="3"/>
        <v>-1.140466644649571</v>
      </c>
      <c r="K104" s="19">
        <v>0</v>
      </c>
      <c r="L104" s="17">
        <v>0.205370817695154</v>
      </c>
      <c r="M104" s="19">
        <v>0</v>
      </c>
      <c r="N104" s="17">
        <v>0.107928942299567</v>
      </c>
      <c r="O104" s="19">
        <v>-5.5374861694872379E-3</v>
      </c>
      <c r="P104" s="17">
        <v>0</v>
      </c>
      <c r="Q104" s="19">
        <v>0</v>
      </c>
      <c r="R104" s="17">
        <v>0</v>
      </c>
      <c r="S104" s="19">
        <v>0</v>
      </c>
    </row>
    <row r="105" spans="1:19" x14ac:dyDescent="0.25">
      <c r="A105" s="3">
        <v>104</v>
      </c>
      <c r="B105" s="23">
        <v>128.44818974548085</v>
      </c>
      <c r="C105" s="18">
        <v>44797.47923611111</v>
      </c>
      <c r="D105" s="23">
        <v>2.0045373010729981</v>
      </c>
      <c r="E105" s="19">
        <v>34</v>
      </c>
      <c r="F105" s="17">
        <v>1</v>
      </c>
      <c r="G105" s="19">
        <v>-22.509136199951172</v>
      </c>
      <c r="H105" s="17">
        <v>0.31543716831207275</v>
      </c>
      <c r="I105" s="17">
        <f t="shared" si="2"/>
        <v>-3.6014617919921874</v>
      </c>
      <c r="J105" s="17">
        <f t="shared" si="3"/>
        <v>-1.1360349094501387</v>
      </c>
      <c r="K105" s="19">
        <v>0</v>
      </c>
      <c r="L105" s="17">
        <v>0.21164777279411401</v>
      </c>
      <c r="M105" s="19">
        <v>0</v>
      </c>
      <c r="N105" s="17">
        <v>0.109844968602925</v>
      </c>
      <c r="O105" s="19">
        <v>-5.7835937477648258E-3</v>
      </c>
      <c r="P105" s="17">
        <v>0</v>
      </c>
      <c r="Q105" s="19">
        <v>0</v>
      </c>
      <c r="R105" s="17">
        <v>0</v>
      </c>
      <c r="S105" s="19">
        <v>0</v>
      </c>
    </row>
    <row r="106" spans="1:19" x14ac:dyDescent="0.25">
      <c r="A106" s="3">
        <v>105</v>
      </c>
      <c r="B106" s="23">
        <v>129.45700767567334</v>
      </c>
      <c r="C106" s="18">
        <v>44797.479247685187</v>
      </c>
      <c r="D106" s="23">
        <v>3.013355231265507</v>
      </c>
      <c r="E106" s="19">
        <v>34</v>
      </c>
      <c r="F106" s="17">
        <v>1</v>
      </c>
      <c r="G106" s="19">
        <v>-22.509136199951172</v>
      </c>
      <c r="H106" s="17">
        <v>0.31389898104667663</v>
      </c>
      <c r="I106" s="17">
        <f t="shared" si="2"/>
        <v>-3.6014617919921874</v>
      </c>
      <c r="J106" s="17">
        <f t="shared" si="3"/>
        <v>-1.1304951867848856</v>
      </c>
      <c r="K106" s="19">
        <v>0</v>
      </c>
      <c r="L106" s="17">
        <v>0.21795522298622599</v>
      </c>
      <c r="M106" s="19">
        <v>0</v>
      </c>
      <c r="N106" s="17">
        <v>0.111761146500786</v>
      </c>
      <c r="O106" s="19">
        <v>-6.152748828753829E-4</v>
      </c>
      <c r="P106" s="17">
        <v>0</v>
      </c>
      <c r="Q106" s="19">
        <v>0</v>
      </c>
      <c r="R106" s="17">
        <v>0</v>
      </c>
      <c r="S106" s="19">
        <v>0</v>
      </c>
    </row>
    <row r="107" spans="1:19" x14ac:dyDescent="0.25">
      <c r="A107" s="3">
        <v>106</v>
      </c>
      <c r="B107" s="23">
        <v>130.46291452860791</v>
      </c>
      <c r="C107" s="18">
        <v>44797.479259259257</v>
      </c>
      <c r="D107" s="23">
        <v>1.003008828152131</v>
      </c>
      <c r="E107" s="19">
        <v>35</v>
      </c>
      <c r="F107" s="17">
        <v>1</v>
      </c>
      <c r="G107" s="19">
        <v>-23.75859260559082</v>
      </c>
      <c r="H107" s="17">
        <v>0.28619602079391482</v>
      </c>
      <c r="I107" s="17">
        <f t="shared" si="2"/>
        <v>-3.8013748168945312</v>
      </c>
      <c r="J107" s="17">
        <f t="shared" si="3"/>
        <v>-1.0879383461414114</v>
      </c>
      <c r="K107" s="19">
        <v>0</v>
      </c>
      <c r="L107" s="17">
        <v>0.224592920023265</v>
      </c>
      <c r="M107" s="19">
        <v>0</v>
      </c>
      <c r="N107" s="17">
        <v>0.113595445484465</v>
      </c>
      <c r="O107" s="19">
        <v>-7.9985859338194132E-4</v>
      </c>
      <c r="P107" s="17">
        <v>0</v>
      </c>
      <c r="Q107" s="19">
        <v>0</v>
      </c>
      <c r="R107" s="17">
        <v>0</v>
      </c>
      <c r="S107" s="19">
        <v>0</v>
      </c>
    </row>
    <row r="108" spans="1:19" x14ac:dyDescent="0.25">
      <c r="A108" s="3">
        <v>107</v>
      </c>
      <c r="B108" s="23">
        <v>131.46781958676883</v>
      </c>
      <c r="C108" s="18">
        <v>44797.479270833333</v>
      </c>
      <c r="D108" s="23">
        <v>2.0079138823748441</v>
      </c>
      <c r="E108" s="19">
        <v>35</v>
      </c>
      <c r="F108" s="17">
        <v>1</v>
      </c>
      <c r="G108" s="19">
        <v>-23.756715774536133</v>
      </c>
      <c r="H108" s="17">
        <v>0.28496455222129824</v>
      </c>
      <c r="I108" s="17">
        <f t="shared" si="2"/>
        <v>-3.8010745239257813</v>
      </c>
      <c r="J108" s="17">
        <f t="shared" si="3"/>
        <v>-1.0831714996702946</v>
      </c>
      <c r="K108" s="19">
        <v>0</v>
      </c>
      <c r="L108" s="17">
        <v>0.23122502698529501</v>
      </c>
      <c r="M108" s="19">
        <v>0</v>
      </c>
      <c r="N108" s="17">
        <v>0.115413164465426</v>
      </c>
      <c r="O108" s="19">
        <v>-1.0459721088409424E-3</v>
      </c>
      <c r="P108" s="17">
        <v>0</v>
      </c>
      <c r="Q108" s="19">
        <v>0</v>
      </c>
      <c r="R108" s="17">
        <v>0</v>
      </c>
      <c r="S108" s="19">
        <v>0</v>
      </c>
    </row>
    <row r="109" spans="1:19" x14ac:dyDescent="0.25">
      <c r="A109" s="3">
        <v>108</v>
      </c>
      <c r="B109" s="23">
        <v>132.47173098087794</v>
      </c>
      <c r="C109" s="18">
        <v>44797.47928240741</v>
      </c>
      <c r="D109" s="23">
        <v>3.0118254193354361</v>
      </c>
      <c r="E109" s="19">
        <v>35</v>
      </c>
      <c r="F109" s="17">
        <v>1</v>
      </c>
      <c r="G109" s="19">
        <v>-23.75859260559082</v>
      </c>
      <c r="H109" s="17">
        <v>0.28311961646080019</v>
      </c>
      <c r="I109" s="17">
        <f t="shared" si="2"/>
        <v>-3.8013748168945312</v>
      </c>
      <c r="J109" s="17">
        <f t="shared" si="3"/>
        <v>-1.0762437801829243</v>
      </c>
      <c r="K109" s="19">
        <v>0</v>
      </c>
      <c r="L109" s="17">
        <v>0.23785052929209799</v>
      </c>
      <c r="M109" s="19">
        <v>0</v>
      </c>
      <c r="N109" s="17">
        <v>0.117218412834876</v>
      </c>
      <c r="O109" s="19">
        <v>-6.1528087826445699E-4</v>
      </c>
      <c r="P109" s="17">
        <v>0</v>
      </c>
      <c r="Q109" s="19">
        <v>0</v>
      </c>
      <c r="R109" s="17">
        <v>0</v>
      </c>
      <c r="S109" s="19">
        <v>0</v>
      </c>
    </row>
    <row r="110" spans="1:19" x14ac:dyDescent="0.25">
      <c r="A110" s="3">
        <v>109</v>
      </c>
      <c r="B110" s="23">
        <v>133.47956993816928</v>
      </c>
      <c r="C110" s="18">
        <v>44797.47929398148</v>
      </c>
      <c r="D110" s="23">
        <v>1.0047959797501711</v>
      </c>
      <c r="E110" s="19">
        <v>36</v>
      </c>
      <c r="F110" s="17">
        <v>1</v>
      </c>
      <c r="G110" s="19">
        <v>-25.011802673339844</v>
      </c>
      <c r="H110" s="17">
        <v>0.25511080859184265</v>
      </c>
      <c r="I110" s="17">
        <f t="shared" si="2"/>
        <v>-4.0018884277343751</v>
      </c>
      <c r="J110" s="17">
        <f t="shared" si="3"/>
        <v>-1.0209249926936543</v>
      </c>
      <c r="K110" s="19">
        <v>0</v>
      </c>
      <c r="L110" s="17">
        <v>0.244830820935027</v>
      </c>
      <c r="M110" s="19">
        <v>0</v>
      </c>
      <c r="N110" s="17">
        <v>0.118924731754498</v>
      </c>
      <c r="O110" s="19">
        <v>-7.9985859338194132E-4</v>
      </c>
      <c r="P110" s="17">
        <v>0</v>
      </c>
      <c r="Q110" s="19">
        <v>0</v>
      </c>
      <c r="R110" s="17">
        <v>0</v>
      </c>
      <c r="S110" s="19">
        <v>0</v>
      </c>
    </row>
    <row r="111" spans="1:19" x14ac:dyDescent="0.25">
      <c r="A111" s="3">
        <v>110</v>
      </c>
      <c r="B111" s="23">
        <v>134.48157748244788</v>
      </c>
      <c r="C111" s="18">
        <v>44797.479305555549</v>
      </c>
      <c r="D111" s="23">
        <v>2.0068034449055001</v>
      </c>
      <c r="E111" s="19">
        <v>36</v>
      </c>
      <c r="F111" s="17">
        <v>1</v>
      </c>
      <c r="G111" s="19">
        <v>-25.009925842285156</v>
      </c>
      <c r="H111" s="17">
        <v>0.25295645150184631</v>
      </c>
      <c r="I111" s="17">
        <f t="shared" si="2"/>
        <v>-4.0015881347656252</v>
      </c>
      <c r="J111" s="17">
        <f t="shared" si="3"/>
        <v>-1.0122275349422045</v>
      </c>
      <c r="K111" s="19">
        <v>0</v>
      </c>
      <c r="L111" s="17">
        <v>0.251791548335282</v>
      </c>
      <c r="M111" s="19">
        <v>0</v>
      </c>
      <c r="N111" s="17">
        <v>0.120609303024817</v>
      </c>
      <c r="O111" s="19">
        <v>-1.2305497657507658E-3</v>
      </c>
      <c r="P111" s="17">
        <v>0</v>
      </c>
      <c r="Q111" s="19">
        <v>0</v>
      </c>
      <c r="R111" s="17">
        <v>0</v>
      </c>
      <c r="S111" s="19">
        <v>0</v>
      </c>
    </row>
    <row r="112" spans="1:19" x14ac:dyDescent="0.25">
      <c r="A112" s="3">
        <v>111</v>
      </c>
      <c r="B112" s="23">
        <v>135.48656411634343</v>
      </c>
      <c r="C112" s="18">
        <v>44797.479317129626</v>
      </c>
      <c r="D112" s="23">
        <v>3.0117900788010501</v>
      </c>
      <c r="E112" s="19">
        <v>36</v>
      </c>
      <c r="F112" s="17">
        <v>1</v>
      </c>
      <c r="G112" s="19">
        <v>-25.008050918579102</v>
      </c>
      <c r="H112" s="17">
        <v>0.25141734937191007</v>
      </c>
      <c r="I112" s="17">
        <f t="shared" si="2"/>
        <v>-4.001288146972656</v>
      </c>
      <c r="J112" s="17">
        <f t="shared" si="3"/>
        <v>-1.0059932599851069</v>
      </c>
      <c r="K112" s="19">
        <v>0</v>
      </c>
      <c r="L112" s="17">
        <v>0.25877299652056501</v>
      </c>
      <c r="M112" s="19">
        <v>0</v>
      </c>
      <c r="N112" s="17">
        <v>0.122286606426129</v>
      </c>
      <c r="O112" s="19">
        <v>-7.3833169881254435E-4</v>
      </c>
      <c r="P112" s="17">
        <v>0</v>
      </c>
      <c r="Q112" s="19">
        <v>0</v>
      </c>
      <c r="R112" s="17">
        <v>0</v>
      </c>
      <c r="S112" s="19">
        <v>0</v>
      </c>
    </row>
    <row r="113" spans="1:19" x14ac:dyDescent="0.25">
      <c r="A113" s="3">
        <v>112</v>
      </c>
      <c r="B113" s="23">
        <v>136.49147664001777</v>
      </c>
      <c r="C113" s="18">
        <v>44797.479328703703</v>
      </c>
      <c r="D113" s="23">
        <v>1.0016833350637819</v>
      </c>
      <c r="E113" s="19">
        <v>37</v>
      </c>
      <c r="F113" s="17">
        <v>1</v>
      </c>
      <c r="G113" s="19">
        <v>-26.259384155273438</v>
      </c>
      <c r="H113" s="17">
        <v>0.22279237167835236</v>
      </c>
      <c r="I113" s="17">
        <f t="shared" si="2"/>
        <v>-4.2015014648437496</v>
      </c>
      <c r="J113" s="17">
        <f t="shared" si="3"/>
        <v>-0.93606247596261061</v>
      </c>
      <c r="K113" s="19">
        <v>0</v>
      </c>
      <c r="L113" s="17">
        <v>0.26606784958555302</v>
      </c>
      <c r="M113" s="19">
        <v>0</v>
      </c>
      <c r="N113" s="17">
        <v>0.12383656636217399</v>
      </c>
      <c r="O113" s="19">
        <v>-5.8451234363019466E-3</v>
      </c>
      <c r="P113" s="17">
        <v>0</v>
      </c>
      <c r="Q113" s="19">
        <v>0</v>
      </c>
      <c r="R113" s="17">
        <v>0</v>
      </c>
      <c r="S113" s="19">
        <v>0</v>
      </c>
    </row>
    <row r="114" spans="1:19" x14ac:dyDescent="0.25">
      <c r="A114" s="3">
        <v>113</v>
      </c>
      <c r="B114" s="23">
        <v>137.49637019845261</v>
      </c>
      <c r="C114" s="18">
        <v>44797.47934027778</v>
      </c>
      <c r="D114" s="23">
        <v>2.0065768934986452</v>
      </c>
      <c r="E114" s="19">
        <v>37</v>
      </c>
      <c r="F114" s="17">
        <v>1</v>
      </c>
      <c r="G114" s="19">
        <v>-26.25750732421875</v>
      </c>
      <c r="H114" s="17">
        <v>0.22063801458835602</v>
      </c>
      <c r="I114" s="17">
        <f t="shared" si="2"/>
        <v>-4.2012011718749998</v>
      </c>
      <c r="J114" s="17">
        <f t="shared" si="3"/>
        <v>-0.92694468544877462</v>
      </c>
      <c r="K114" s="19">
        <v>0</v>
      </c>
      <c r="L114" s="17">
        <v>0.27339760047971901</v>
      </c>
      <c r="M114" s="19">
        <v>0</v>
      </c>
      <c r="N114" s="17">
        <v>0.125367274002506</v>
      </c>
      <c r="O114" s="19">
        <v>-6.2758149579167366E-3</v>
      </c>
      <c r="P114" s="17">
        <v>0</v>
      </c>
      <c r="Q114" s="19">
        <v>0</v>
      </c>
      <c r="R114" s="17">
        <v>0</v>
      </c>
      <c r="S114" s="19">
        <v>0</v>
      </c>
    </row>
    <row r="115" spans="1:19" x14ac:dyDescent="0.25">
      <c r="A115" s="3">
        <v>114</v>
      </c>
      <c r="B115" s="23">
        <v>138.50512862364889</v>
      </c>
      <c r="C115" s="18">
        <v>44797.479351851849</v>
      </c>
      <c r="D115" s="23">
        <v>3.0153354726451882</v>
      </c>
      <c r="E115" s="19">
        <v>37</v>
      </c>
      <c r="F115" s="17">
        <v>1</v>
      </c>
      <c r="G115" s="19">
        <v>-26.25750732421875</v>
      </c>
      <c r="H115" s="17">
        <v>0.21879217794895173</v>
      </c>
      <c r="I115" s="17">
        <f t="shared" si="2"/>
        <v>-4.2012011718749998</v>
      </c>
      <c r="J115" s="17">
        <f t="shared" si="3"/>
        <v>-0.91918995439621942</v>
      </c>
      <c r="K115" s="19">
        <v>0</v>
      </c>
      <c r="L115" s="17">
        <v>0.28075560500231</v>
      </c>
      <c r="M115" s="19">
        <v>0</v>
      </c>
      <c r="N115" s="17">
        <v>0.126889458222463</v>
      </c>
      <c r="O115" s="19">
        <v>-7.3833169881254435E-4</v>
      </c>
      <c r="P115" s="17">
        <v>0</v>
      </c>
      <c r="Q115" s="19">
        <v>0</v>
      </c>
      <c r="R115" s="17">
        <v>0</v>
      </c>
      <c r="S115" s="19">
        <v>0</v>
      </c>
    </row>
    <row r="116" spans="1:19" x14ac:dyDescent="0.25">
      <c r="A116" s="3">
        <v>115</v>
      </c>
      <c r="B116" s="23">
        <v>139.50909047047912</v>
      </c>
      <c r="C116" s="18">
        <v>44797.479363425926</v>
      </c>
      <c r="D116" s="23">
        <v>1.0007458721640039</v>
      </c>
      <c r="E116" s="19">
        <v>38</v>
      </c>
      <c r="F116" s="17">
        <v>1</v>
      </c>
      <c r="G116" s="19">
        <v>-27.510717391967773</v>
      </c>
      <c r="H116" s="17">
        <v>0.18862991386890413</v>
      </c>
      <c r="I116" s="17">
        <f t="shared" si="2"/>
        <v>-4.4017147827148442</v>
      </c>
      <c r="J116" s="17">
        <f t="shared" si="3"/>
        <v>-0.83029508033898314</v>
      </c>
      <c r="K116" s="19">
        <v>0</v>
      </c>
      <c r="L116" s="17">
        <v>0.288426740759474</v>
      </c>
      <c r="M116" s="19">
        <v>0</v>
      </c>
      <c r="N116" s="17">
        <v>0.12825132402925399</v>
      </c>
      <c r="O116" s="19">
        <v>-1.1074959766119719E-3</v>
      </c>
      <c r="P116" s="17">
        <v>0</v>
      </c>
      <c r="Q116" s="19">
        <v>0</v>
      </c>
      <c r="R116" s="17">
        <v>0</v>
      </c>
      <c r="S116" s="19">
        <v>0</v>
      </c>
    </row>
    <row r="117" spans="1:19" x14ac:dyDescent="0.25">
      <c r="A117" s="3">
        <v>116</v>
      </c>
      <c r="B117" s="23">
        <v>140.51111232246492</v>
      </c>
      <c r="C117" s="18">
        <v>44797.479375000003</v>
      </c>
      <c r="D117" s="23">
        <v>2.0027677993347921</v>
      </c>
      <c r="E117" s="19">
        <v>38</v>
      </c>
      <c r="F117" s="17">
        <v>1</v>
      </c>
      <c r="G117" s="19">
        <v>-27.510717391967773</v>
      </c>
      <c r="H117" s="17">
        <v>0.18616880828380586</v>
      </c>
      <c r="I117" s="17">
        <f t="shared" si="2"/>
        <v>-4.4017147827148442</v>
      </c>
      <c r="J117" s="17">
        <f t="shared" si="3"/>
        <v>-0.81946199550323395</v>
      </c>
      <c r="K117" s="19">
        <v>0</v>
      </c>
      <c r="L117" s="17">
        <v>0.29608410641279198</v>
      </c>
      <c r="M117" s="19">
        <v>0</v>
      </c>
      <c r="N117" s="17">
        <v>0.12958541338120999</v>
      </c>
      <c r="O117" s="19">
        <v>-1.5997171867638826E-3</v>
      </c>
      <c r="P117" s="17">
        <v>0</v>
      </c>
      <c r="Q117" s="19">
        <v>0</v>
      </c>
      <c r="R117" s="17">
        <v>0</v>
      </c>
      <c r="S117" s="19">
        <v>0</v>
      </c>
    </row>
  </sheetData>
  <phoneticPr fontId="1" type="noConversion"/>
  <printOptions headings="1"/>
  <pageMargins left="0.7" right="0.7" top="0.75" bottom="0.75" header="0.3" footer="0.3"/>
  <pageSetup paperSize="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2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Info</vt:lpstr>
      <vt:lpstr>Channel_1-001</vt:lpstr>
      <vt:lpstr>Channel_Chart</vt:lpstr>
      <vt:lpstr>'Channel_1-001'!Print_Titles</vt:lpstr>
      <vt:lpstr>Info!Print_Titles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chenc</cp:lastModifiedBy>
  <dcterms:created xsi:type="dcterms:W3CDTF">2022-08-25T06:20:40Z</dcterms:created>
  <dcterms:modified xsi:type="dcterms:W3CDTF">2022-08-25T09:50:19Z</dcterms:modified>
</cp:coreProperties>
</file>