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nChi\数据处理\PEMFC\OM-FeNC-CVD\"/>
    </mc:Choice>
  </mc:AlternateContent>
  <xr:revisionPtr revIDLastSave="0" documentId="13_ncr:1_{B08806F8-1C4C-4E9A-B848-4842DCA3276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4" r:id="rId1"/>
    <sheet name="Channel_Chart" sheetId="6" r:id="rId2"/>
    <sheet name="Channel_1-001" sheetId="5" r:id="rId3"/>
  </sheets>
  <definedNames>
    <definedName name="_xlnm.Print_Titles" localSheetId="2">'Channel_1-001'!$1:$1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0" i="5" l="1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J8" i="5"/>
  <c r="I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Q3" authorId="0" shapeId="0" xr:uid="{00000000-0006-0000-0000-000001000000}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sharedStrings.xml><?xml version="1.0" encoding="utf-8"?>
<sst xmlns="http://schemas.openxmlformats.org/spreadsheetml/2006/main" count="49" uniqueCount="46">
  <si>
    <t>TEST REPORT</t>
  </si>
  <si>
    <t>C:\ArbinSoftware\MITS_PRO\Data\cc-220825-OMCVD-2-50N-air-5mv-.res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</si>
  <si>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</si>
  <si>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</si>
  <si>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</si>
  <si>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</si>
  <si>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</si>
  <si>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</si>
  <si>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</si>
  <si>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</si>
  <si>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</si>
  <si>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</si>
  <si>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</si>
  <si>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</si>
  <si>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</si>
  <si>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</si>
  <si>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</si>
  <si>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</si>
  <si>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</si>
  <si>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</si>
  <si>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</si>
  <si>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</si>
  <si>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</si>
  <si>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</si>
  <si>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</si>
  <si>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</si>
  <si>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</si>
  <si>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</si>
  <si>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cc-220825-OMCVD-2-50N-air-5mv-</t>
  </si>
  <si>
    <t>1-001</t>
  </si>
  <si>
    <t>chenchi-2.5-2.5-H2-O2-FAST.sdu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</si>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</sst>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0.0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8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 wrapText="1"/>
    </xf>
    <xf numFmtId="177" fontId="0" fillId="10" borderId="1" xfId="0" applyNumberFormat="1" applyFill="1" applyBorder="1" applyAlignment="1">
      <alignment horizontal="center" vertical="center" wrapText="1"/>
    </xf>
    <xf numFmtId="177" fontId="0" fillId="8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b="1"/>
            </a:pPr>
            <a:r>
              <a:rPr lang="en-US"/>
              <a:t>Current(A), Voltage(V) vs. Test_Time(s)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5045567522811E-3"/>
          <c:y val="1.4945652173913042E-2"/>
          <c:w val="0.97680198840099419"/>
          <c:h val="0.97010869565217406"/>
        </c:manualLayout>
      </c:layout>
      <c:scatterChart>
        <c:scatterStyle val="lineMarker"/>
        <c:varyColors val="0"/>
        <c:ser>
          <c:idx val="0"/>
          <c:order val="0"/>
          <c:smooth val="0"/>
          <c:extLst>
            <c:ext xmlns:c16="http://schemas.microsoft.com/office/drawing/2014/chart" uri="{C3380CC4-5D6E-409C-BE32-E72D297353CC}">
              <c16:uniqueId val="{00000000-B1A0-40A3-942F-857A35269540}"/>
            </c:ext>
          </c:extLst>
        </c:ser>
        <c:ser>
          <c:idx val="1"/>
          <c:order val="1"/>
          <c:tx>
            <c:v>1-001 Current(A) </c:v>
          </c:tx>
          <c:marker>
            <c:symbol val="none"/>
          </c:marker>
          <c:xVal>
            <c:numRef>
              <c:f>'Channel_1-001'!$B$2:$B$80</c:f>
              <c:numCache>
                <c:formatCode>0.000</c:formatCode>
                <c:ptCount val="79"/>
                <c:pt idx="0">
                  <c:v>5.014628131008088</c:v>
                </c:pt>
                <c:pt idx="1">
                  <c:v>10.028421238332898</c:v>
                </c:pt>
                <c:pt idx="2">
                  <c:v>15.033444957771088</c:v>
                </c:pt>
                <c:pt idx="3">
                  <c:v>20.046405500320429</c:v>
                </c:pt>
                <c:pt idx="4">
                  <c:v>25.048375873846716</c:v>
                </c:pt>
                <c:pt idx="5">
                  <c:v>30.012610677345325</c:v>
                </c:pt>
                <c:pt idx="6">
                  <c:v>31.029172193719543</c:v>
                </c:pt>
                <c:pt idx="7">
                  <c:v>32.032145696016272</c:v>
                </c:pt>
                <c:pt idx="8">
                  <c:v>33.023398776632504</c:v>
                </c:pt>
                <c:pt idx="9">
                  <c:v>34.028299071644156</c:v>
                </c:pt>
                <c:pt idx="10">
                  <c:v>35.030277218584295</c:v>
                </c:pt>
                <c:pt idx="11">
                  <c:v>36.036154648044658</c:v>
                </c:pt>
                <c:pt idx="12">
                  <c:v>37.044014022004141</c:v>
                </c:pt>
                <c:pt idx="13">
                  <c:v>38.050897754116377</c:v>
                </c:pt>
                <c:pt idx="14">
                  <c:v>39.051906623441255</c:v>
                </c:pt>
                <c:pt idx="15">
                  <c:v>40.066621013135894</c:v>
                </c:pt>
                <c:pt idx="16">
                  <c:v>41.068517392440683</c:v>
                </c:pt>
                <c:pt idx="17">
                  <c:v>42.057857687667152</c:v>
                </c:pt>
                <c:pt idx="18">
                  <c:v>43.06285847102334</c:v>
                </c:pt>
                <c:pt idx="19">
                  <c:v>44.066718829548421</c:v>
                </c:pt>
                <c:pt idx="20">
                  <c:v>45.074681966338595</c:v>
                </c:pt>
                <c:pt idx="21">
                  <c:v>46.078565463229161</c:v>
                </c:pt>
                <c:pt idx="22">
                  <c:v>47.080523844030488</c:v>
                </c:pt>
                <c:pt idx="23">
                  <c:v>48.08251631729506</c:v>
                </c:pt>
                <c:pt idx="24">
                  <c:v>49.091305899159003</c:v>
                </c:pt>
                <c:pt idx="25">
                  <c:v>50.096210765419194</c:v>
                </c:pt>
                <c:pt idx="26">
                  <c:v>51.100177510731768</c:v>
                </c:pt>
                <c:pt idx="27">
                  <c:v>52.110011998453338</c:v>
                </c:pt>
                <c:pt idx="28">
                  <c:v>53.114905891640504</c:v>
                </c:pt>
                <c:pt idx="29">
                  <c:v>54.106133672501258</c:v>
                </c:pt>
                <c:pt idx="30">
                  <c:v>55.111077131226487</c:v>
                </c:pt>
                <c:pt idx="31">
                  <c:v>56.114029608214501</c:v>
                </c:pt>
                <c:pt idx="32">
                  <c:v>57.123799579680004</c:v>
                </c:pt>
                <c:pt idx="33">
                  <c:v>58.129765205093967</c:v>
                </c:pt>
                <c:pt idx="34">
                  <c:v>59.133672140732017</c:v>
                </c:pt>
                <c:pt idx="35">
                  <c:v>60.142541332063544</c:v>
                </c:pt>
                <c:pt idx="36">
                  <c:v>61.15144108216289</c:v>
                </c:pt>
                <c:pt idx="37">
                  <c:v>62.157228722105465</c:v>
                </c:pt>
                <c:pt idx="38">
                  <c:v>63.146498407151881</c:v>
                </c:pt>
                <c:pt idx="39">
                  <c:v>64.153382781916932</c:v>
                </c:pt>
                <c:pt idx="40">
                  <c:v>65.158183862790935</c:v>
                </c:pt>
                <c:pt idx="41">
                  <c:v>66.164171464424953</c:v>
                </c:pt>
                <c:pt idx="42">
                  <c:v>67.171154617254601</c:v>
                </c:pt>
                <c:pt idx="43">
                  <c:v>68.175978118298246</c:v>
                </c:pt>
                <c:pt idx="44">
                  <c:v>69.180844260698649</c:v>
                </c:pt>
                <c:pt idx="45">
                  <c:v>70.189701666601024</c:v>
                </c:pt>
                <c:pt idx="46">
                  <c:v>71.192630697323054</c:v>
                </c:pt>
                <c:pt idx="47">
                  <c:v>72.194678743765905</c:v>
                </c:pt>
                <c:pt idx="48">
                  <c:v>73.199622145923371</c:v>
                </c:pt>
                <c:pt idx="49">
                  <c:v>74.208358365048269</c:v>
                </c:pt>
                <c:pt idx="50">
                  <c:v>75.209497289401426</c:v>
                </c:pt>
                <c:pt idx="51">
                  <c:v>76.219276005241468</c:v>
                </c:pt>
                <c:pt idx="52">
                  <c:v>77.224143906613051</c:v>
                </c:pt>
                <c:pt idx="53">
                  <c:v>78.21448260970746</c:v>
                </c:pt>
                <c:pt idx="54">
                  <c:v>79.220289275037501</c:v>
                </c:pt>
                <c:pt idx="55">
                  <c:v>80.223253353072394</c:v>
                </c:pt>
                <c:pt idx="56">
                  <c:v>81.230137160369623</c:v>
                </c:pt>
                <c:pt idx="57">
                  <c:v>82.247721700183675</c:v>
                </c:pt>
                <c:pt idx="58">
                  <c:v>83.252663410678423</c:v>
                </c:pt>
                <c:pt idx="59">
                  <c:v>84.241931257630384</c:v>
                </c:pt>
                <c:pt idx="60">
                  <c:v>85.24983434415401</c:v>
                </c:pt>
                <c:pt idx="61">
                  <c:v>86.255589635567517</c:v>
                </c:pt>
                <c:pt idx="62">
                  <c:v>87.258672998199131</c:v>
                </c:pt>
                <c:pt idx="63">
                  <c:v>88.263578537544177</c:v>
                </c:pt>
                <c:pt idx="64">
                  <c:v>89.269468331000212</c:v>
                </c:pt>
                <c:pt idx="65">
                  <c:v>90.265602546623654</c:v>
                </c:pt>
                <c:pt idx="66">
                  <c:v>91.272468624937801</c:v>
                </c:pt>
                <c:pt idx="67">
                  <c:v>92.276499442914897</c:v>
                </c:pt>
                <c:pt idx="68">
                  <c:v>93.28331500477961</c:v>
                </c:pt>
                <c:pt idx="69">
                  <c:v>94.288197243932387</c:v>
                </c:pt>
                <c:pt idx="70">
                  <c:v>95.29328046049028</c:v>
                </c:pt>
                <c:pt idx="71">
                  <c:v>96.298028381624789</c:v>
                </c:pt>
                <c:pt idx="72">
                  <c:v>97.303911998811373</c:v>
                </c:pt>
                <c:pt idx="73">
                  <c:v>98.306902696277632</c:v>
                </c:pt>
                <c:pt idx="74">
                  <c:v>99.302053157233345</c:v>
                </c:pt>
                <c:pt idx="75">
                  <c:v>100.31865860026994</c:v>
                </c:pt>
                <c:pt idx="76">
                  <c:v>101.32548318397772</c:v>
                </c:pt>
                <c:pt idx="77">
                  <c:v>102.31974404481028</c:v>
                </c:pt>
                <c:pt idx="78">
                  <c:v>103.32951664417082</c:v>
                </c:pt>
              </c:numCache>
            </c:numRef>
          </c:xVal>
          <c:yVal>
            <c:numRef>
              <c:f>'Channel_1-001'!$G$2:$G$80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-0.27514734864234924</c:v>
                </c:pt>
                <c:pt idx="7">
                  <c:v>-0.27514734864234924</c:v>
                </c:pt>
                <c:pt idx="8">
                  <c:v>-0.27514734864234924</c:v>
                </c:pt>
                <c:pt idx="9">
                  <c:v>-0.62515902519226074</c:v>
                </c:pt>
                <c:pt idx="10">
                  <c:v>-0.62515902519226074</c:v>
                </c:pt>
                <c:pt idx="11">
                  <c:v>-0.62515902519226074</c:v>
                </c:pt>
                <c:pt idx="12">
                  <c:v>-0.93764752149581909</c:v>
                </c:pt>
                <c:pt idx="13">
                  <c:v>-0.93764752149581909</c:v>
                </c:pt>
                <c:pt idx="14">
                  <c:v>-0.93771582841873169</c:v>
                </c:pt>
                <c:pt idx="15">
                  <c:v>-1.2509503364562988</c:v>
                </c:pt>
                <c:pt idx="16">
                  <c:v>-1.2513201236724854</c:v>
                </c:pt>
                <c:pt idx="17">
                  <c:v>-1.2516900300979614</c:v>
                </c:pt>
                <c:pt idx="18">
                  <c:v>-1.5631206035614014</c:v>
                </c:pt>
                <c:pt idx="19">
                  <c:v>-1.563860297203064</c:v>
                </c:pt>
                <c:pt idx="20">
                  <c:v>-1.5627506971359253</c:v>
                </c:pt>
                <c:pt idx="21">
                  <c:v>-1.8764004707336426</c:v>
                </c:pt>
                <c:pt idx="22">
                  <c:v>-1.8760305643081665</c:v>
                </c:pt>
                <c:pt idx="23">
                  <c:v>-1.8752908706665039</c:v>
                </c:pt>
                <c:pt idx="24">
                  <c:v>-2.1885707378387451</c:v>
                </c:pt>
                <c:pt idx="25">
                  <c:v>-2.1885707378387451</c:v>
                </c:pt>
                <c:pt idx="26">
                  <c:v>-2.187830924987793</c:v>
                </c:pt>
                <c:pt idx="27">
                  <c:v>-2.5014808177947998</c:v>
                </c:pt>
                <c:pt idx="28">
                  <c:v>-2.5011107921600342</c:v>
                </c:pt>
                <c:pt idx="29">
                  <c:v>-2.5011107921600342</c:v>
                </c:pt>
                <c:pt idx="30">
                  <c:v>-2.8136510848999023</c:v>
                </c:pt>
                <c:pt idx="31">
                  <c:v>-2.8136510848999023</c:v>
                </c:pt>
                <c:pt idx="32">
                  <c:v>-2.8136510848999023</c:v>
                </c:pt>
                <c:pt idx="33">
                  <c:v>-3.1258213520050049</c:v>
                </c:pt>
                <c:pt idx="34">
                  <c:v>-3.1261911392211914</c:v>
                </c:pt>
                <c:pt idx="35">
                  <c:v>-3.1258213520050049</c:v>
                </c:pt>
                <c:pt idx="36">
                  <c:v>-3.4387311935424805</c:v>
                </c:pt>
                <c:pt idx="37">
                  <c:v>-3.4394710063934326</c:v>
                </c:pt>
                <c:pt idx="38">
                  <c:v>-3.4394710063934326</c:v>
                </c:pt>
                <c:pt idx="39">
                  <c:v>-3.7516412734985352</c:v>
                </c:pt>
                <c:pt idx="40">
                  <c:v>-3.7520110607147217</c:v>
                </c:pt>
                <c:pt idx="41">
                  <c:v>-3.7516412734985352</c:v>
                </c:pt>
                <c:pt idx="42">
                  <c:v>-4.0641818046569824</c:v>
                </c:pt>
                <c:pt idx="43">
                  <c:v>-4.0645513534545898</c:v>
                </c:pt>
                <c:pt idx="44">
                  <c:v>-4.0641818046569824</c:v>
                </c:pt>
                <c:pt idx="45">
                  <c:v>-4.3767218589782715</c:v>
                </c:pt>
                <c:pt idx="46">
                  <c:v>-4.3770918846130371</c:v>
                </c:pt>
                <c:pt idx="47">
                  <c:v>-4.3770918846130371</c:v>
                </c:pt>
                <c:pt idx="48">
                  <c:v>-4.6888918876647949</c:v>
                </c:pt>
                <c:pt idx="49">
                  <c:v>-4.6888918876647949</c:v>
                </c:pt>
                <c:pt idx="50">
                  <c:v>-4.6892619132995605</c:v>
                </c:pt>
                <c:pt idx="51">
                  <c:v>-5.0018019676208496</c:v>
                </c:pt>
                <c:pt idx="52">
                  <c:v>-5.0014324188232422</c:v>
                </c:pt>
                <c:pt idx="53">
                  <c:v>-5.0014324188232422</c:v>
                </c:pt>
                <c:pt idx="54">
                  <c:v>-5.3143420219421387</c:v>
                </c:pt>
                <c:pt idx="55">
                  <c:v>-5.3143420219421387</c:v>
                </c:pt>
                <c:pt idx="56">
                  <c:v>-5.3147120475769043</c:v>
                </c:pt>
                <c:pt idx="57">
                  <c:v>-5.6268825531005859</c:v>
                </c:pt>
                <c:pt idx="58">
                  <c:v>-5.6268825531005859</c:v>
                </c:pt>
                <c:pt idx="59">
                  <c:v>-5.6268825531005859</c:v>
                </c:pt>
                <c:pt idx="60">
                  <c:v>-5.939422607421875</c:v>
                </c:pt>
                <c:pt idx="61">
                  <c:v>-5.9390525817871094</c:v>
                </c:pt>
                <c:pt idx="62">
                  <c:v>-5.9397921562194824</c:v>
                </c:pt>
                <c:pt idx="63">
                  <c:v>-6.2515926361083984</c:v>
                </c:pt>
                <c:pt idx="64">
                  <c:v>-6.2515926361083984</c:v>
                </c:pt>
                <c:pt idx="65">
                  <c:v>-6.2523326873779297</c:v>
                </c:pt>
                <c:pt idx="66">
                  <c:v>-7.5017533302307129</c:v>
                </c:pt>
                <c:pt idx="67">
                  <c:v>-7.5021233558654785</c:v>
                </c:pt>
                <c:pt idx="68">
                  <c:v>-7.5024929046630859</c:v>
                </c:pt>
                <c:pt idx="69">
                  <c:v>-8.7519130706787109</c:v>
                </c:pt>
                <c:pt idx="70">
                  <c:v>-8.7522830963134766</c:v>
                </c:pt>
                <c:pt idx="71">
                  <c:v>-8.7515430450439453</c:v>
                </c:pt>
                <c:pt idx="72">
                  <c:v>-10.002813339233398</c:v>
                </c:pt>
                <c:pt idx="73">
                  <c:v>-10.002444267272949</c:v>
                </c:pt>
                <c:pt idx="74">
                  <c:v>-10.002074241638184</c:v>
                </c:pt>
                <c:pt idx="75">
                  <c:v>-11.256514549255371</c:v>
                </c:pt>
                <c:pt idx="76">
                  <c:v>-11.258390426635742</c:v>
                </c:pt>
                <c:pt idx="77">
                  <c:v>-11.254638671875</c:v>
                </c:pt>
                <c:pt idx="78">
                  <c:v>-12.509724617004395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A0-40A3-942F-857A3526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772224"/>
        <c:axId val="494765184"/>
      </c:scatterChart>
      <c:scatterChart>
        <c:scatterStyle val="lineMarker"/>
        <c:varyColors val="0"/>
        <c:ser>
          <c:idx val="2"/>
          <c:order val="2"/>
          <c:tx>
            <c:v>1-001 Voltage(V) </c:v>
          </c:tx>
          <c:marker>
            <c:symbol val="none"/>
          </c:marker>
          <c:xVal>
            <c:numRef>
              <c:f>'Channel_1-001'!$B$2:$B$80</c:f>
              <c:numCache>
                <c:formatCode>0.000</c:formatCode>
                <c:ptCount val="79"/>
                <c:pt idx="0">
                  <c:v>5.014628131008088</c:v>
                </c:pt>
                <c:pt idx="1">
                  <c:v>10.028421238332898</c:v>
                </c:pt>
                <c:pt idx="2">
                  <c:v>15.033444957771088</c:v>
                </c:pt>
                <c:pt idx="3">
                  <c:v>20.046405500320429</c:v>
                </c:pt>
                <c:pt idx="4">
                  <c:v>25.048375873846716</c:v>
                </c:pt>
                <c:pt idx="5">
                  <c:v>30.012610677345325</c:v>
                </c:pt>
                <c:pt idx="6">
                  <c:v>31.029172193719543</c:v>
                </c:pt>
                <c:pt idx="7">
                  <c:v>32.032145696016272</c:v>
                </c:pt>
                <c:pt idx="8">
                  <c:v>33.023398776632504</c:v>
                </c:pt>
                <c:pt idx="9">
                  <c:v>34.028299071644156</c:v>
                </c:pt>
                <c:pt idx="10">
                  <c:v>35.030277218584295</c:v>
                </c:pt>
                <c:pt idx="11">
                  <c:v>36.036154648044658</c:v>
                </c:pt>
                <c:pt idx="12">
                  <c:v>37.044014022004141</c:v>
                </c:pt>
                <c:pt idx="13">
                  <c:v>38.050897754116377</c:v>
                </c:pt>
                <c:pt idx="14">
                  <c:v>39.051906623441255</c:v>
                </c:pt>
                <c:pt idx="15">
                  <c:v>40.066621013135894</c:v>
                </c:pt>
                <c:pt idx="16">
                  <c:v>41.068517392440683</c:v>
                </c:pt>
                <c:pt idx="17">
                  <c:v>42.057857687667152</c:v>
                </c:pt>
                <c:pt idx="18">
                  <c:v>43.06285847102334</c:v>
                </c:pt>
                <c:pt idx="19">
                  <c:v>44.066718829548421</c:v>
                </c:pt>
                <c:pt idx="20">
                  <c:v>45.074681966338595</c:v>
                </c:pt>
                <c:pt idx="21">
                  <c:v>46.078565463229161</c:v>
                </c:pt>
                <c:pt idx="22">
                  <c:v>47.080523844030488</c:v>
                </c:pt>
                <c:pt idx="23">
                  <c:v>48.08251631729506</c:v>
                </c:pt>
                <c:pt idx="24">
                  <c:v>49.091305899159003</c:v>
                </c:pt>
                <c:pt idx="25">
                  <c:v>50.096210765419194</c:v>
                </c:pt>
                <c:pt idx="26">
                  <c:v>51.100177510731768</c:v>
                </c:pt>
                <c:pt idx="27">
                  <c:v>52.110011998453338</c:v>
                </c:pt>
                <c:pt idx="28">
                  <c:v>53.114905891640504</c:v>
                </c:pt>
                <c:pt idx="29">
                  <c:v>54.106133672501258</c:v>
                </c:pt>
                <c:pt idx="30">
                  <c:v>55.111077131226487</c:v>
                </c:pt>
                <c:pt idx="31">
                  <c:v>56.114029608214501</c:v>
                </c:pt>
                <c:pt idx="32">
                  <c:v>57.123799579680004</c:v>
                </c:pt>
                <c:pt idx="33">
                  <c:v>58.129765205093967</c:v>
                </c:pt>
                <c:pt idx="34">
                  <c:v>59.133672140732017</c:v>
                </c:pt>
                <c:pt idx="35">
                  <c:v>60.142541332063544</c:v>
                </c:pt>
                <c:pt idx="36">
                  <c:v>61.15144108216289</c:v>
                </c:pt>
                <c:pt idx="37">
                  <c:v>62.157228722105465</c:v>
                </c:pt>
                <c:pt idx="38">
                  <c:v>63.146498407151881</c:v>
                </c:pt>
                <c:pt idx="39">
                  <c:v>64.153382781916932</c:v>
                </c:pt>
                <c:pt idx="40">
                  <c:v>65.158183862790935</c:v>
                </c:pt>
                <c:pt idx="41">
                  <c:v>66.164171464424953</c:v>
                </c:pt>
                <c:pt idx="42">
                  <c:v>67.171154617254601</c:v>
                </c:pt>
                <c:pt idx="43">
                  <c:v>68.175978118298246</c:v>
                </c:pt>
                <c:pt idx="44">
                  <c:v>69.180844260698649</c:v>
                </c:pt>
                <c:pt idx="45">
                  <c:v>70.189701666601024</c:v>
                </c:pt>
                <c:pt idx="46">
                  <c:v>71.192630697323054</c:v>
                </c:pt>
                <c:pt idx="47">
                  <c:v>72.194678743765905</c:v>
                </c:pt>
                <c:pt idx="48">
                  <c:v>73.199622145923371</c:v>
                </c:pt>
                <c:pt idx="49">
                  <c:v>74.208358365048269</c:v>
                </c:pt>
                <c:pt idx="50">
                  <c:v>75.209497289401426</c:v>
                </c:pt>
                <c:pt idx="51">
                  <c:v>76.219276005241468</c:v>
                </c:pt>
                <c:pt idx="52">
                  <c:v>77.224143906613051</c:v>
                </c:pt>
                <c:pt idx="53">
                  <c:v>78.21448260970746</c:v>
                </c:pt>
                <c:pt idx="54">
                  <c:v>79.220289275037501</c:v>
                </c:pt>
                <c:pt idx="55">
                  <c:v>80.223253353072394</c:v>
                </c:pt>
                <c:pt idx="56">
                  <c:v>81.230137160369623</c:v>
                </c:pt>
                <c:pt idx="57">
                  <c:v>82.247721700183675</c:v>
                </c:pt>
                <c:pt idx="58">
                  <c:v>83.252663410678423</c:v>
                </c:pt>
                <c:pt idx="59">
                  <c:v>84.241931257630384</c:v>
                </c:pt>
                <c:pt idx="60">
                  <c:v>85.24983434415401</c:v>
                </c:pt>
                <c:pt idx="61">
                  <c:v>86.255589635567517</c:v>
                </c:pt>
                <c:pt idx="62">
                  <c:v>87.258672998199131</c:v>
                </c:pt>
                <c:pt idx="63">
                  <c:v>88.263578537544177</c:v>
                </c:pt>
                <c:pt idx="64">
                  <c:v>89.269468331000212</c:v>
                </c:pt>
                <c:pt idx="65">
                  <c:v>90.265602546623654</c:v>
                </c:pt>
                <c:pt idx="66">
                  <c:v>91.272468624937801</c:v>
                </c:pt>
                <c:pt idx="67">
                  <c:v>92.276499442914897</c:v>
                </c:pt>
                <c:pt idx="68">
                  <c:v>93.28331500477961</c:v>
                </c:pt>
                <c:pt idx="69">
                  <c:v>94.288197243932387</c:v>
                </c:pt>
                <c:pt idx="70">
                  <c:v>95.29328046049028</c:v>
                </c:pt>
                <c:pt idx="71">
                  <c:v>96.298028381624789</c:v>
                </c:pt>
                <c:pt idx="72">
                  <c:v>97.303911998811373</c:v>
                </c:pt>
                <c:pt idx="73">
                  <c:v>98.306902696277632</c:v>
                </c:pt>
                <c:pt idx="74">
                  <c:v>99.302053157233345</c:v>
                </c:pt>
                <c:pt idx="75">
                  <c:v>100.31865860026994</c:v>
                </c:pt>
                <c:pt idx="76">
                  <c:v>101.32548318397772</c:v>
                </c:pt>
                <c:pt idx="77">
                  <c:v>102.31974404481028</c:v>
                </c:pt>
                <c:pt idx="78">
                  <c:v>103.32951664417082</c:v>
                </c:pt>
              </c:numCache>
            </c:numRef>
          </c:xVal>
          <c:yVal>
            <c:numRef>
              <c:f>'Channel_1-001'!$H$2:$H$80</c:f>
              <c:numCache>
                <c:formatCode>General</c:formatCode>
                <c:ptCount val="79"/>
                <c:pt idx="0">
                  <c:v>0.87253266572952271</c:v>
                </c:pt>
                <c:pt idx="1">
                  <c:v>0.87253266572952271</c:v>
                </c:pt>
                <c:pt idx="2">
                  <c:v>0.87253266572952271</c:v>
                </c:pt>
                <c:pt idx="3">
                  <c:v>0.87222498655319214</c:v>
                </c:pt>
                <c:pt idx="4">
                  <c:v>0.87222498655319214</c:v>
                </c:pt>
                <c:pt idx="5">
                  <c:v>0.87222498655319214</c:v>
                </c:pt>
                <c:pt idx="6">
                  <c:v>0.80546754598617554</c:v>
                </c:pt>
                <c:pt idx="7">
                  <c:v>0.80454462766647339</c:v>
                </c:pt>
                <c:pt idx="8">
                  <c:v>0.80485224723815918</c:v>
                </c:pt>
                <c:pt idx="9">
                  <c:v>0.76547461748123169</c:v>
                </c:pt>
                <c:pt idx="10">
                  <c:v>0.76547461748123169</c:v>
                </c:pt>
                <c:pt idx="11">
                  <c:v>0.76547461748123169</c:v>
                </c:pt>
                <c:pt idx="12">
                  <c:v>0.74117118120193481</c:v>
                </c:pt>
                <c:pt idx="13">
                  <c:v>0.74086356163024902</c:v>
                </c:pt>
                <c:pt idx="14">
                  <c:v>0.74117118120193481</c:v>
                </c:pt>
                <c:pt idx="15">
                  <c:v>0.72055941820144653</c:v>
                </c:pt>
                <c:pt idx="16">
                  <c:v>0.72055941820144653</c:v>
                </c:pt>
                <c:pt idx="17">
                  <c:v>0.72055941820144653</c:v>
                </c:pt>
                <c:pt idx="18">
                  <c:v>0.70302408933639526</c:v>
                </c:pt>
                <c:pt idx="19">
                  <c:v>0.70333170890808105</c:v>
                </c:pt>
                <c:pt idx="20">
                  <c:v>0.7042546272277832</c:v>
                </c:pt>
                <c:pt idx="21">
                  <c:v>0.68764215707778931</c:v>
                </c:pt>
                <c:pt idx="22">
                  <c:v>0.68825745582580566</c:v>
                </c:pt>
                <c:pt idx="23">
                  <c:v>0.68887269496917725</c:v>
                </c:pt>
                <c:pt idx="24">
                  <c:v>0.67349082231521606</c:v>
                </c:pt>
                <c:pt idx="25">
                  <c:v>0.67379844188690186</c:v>
                </c:pt>
                <c:pt idx="26">
                  <c:v>0.67410606145858765</c:v>
                </c:pt>
                <c:pt idx="27">
                  <c:v>0.65964710712432861</c:v>
                </c:pt>
                <c:pt idx="28">
                  <c:v>0.6602623462677002</c:v>
                </c:pt>
                <c:pt idx="29">
                  <c:v>0.66087764501571655</c:v>
                </c:pt>
                <c:pt idx="30">
                  <c:v>0.64734154939651489</c:v>
                </c:pt>
                <c:pt idx="31">
                  <c:v>0.64795684814453125</c:v>
                </c:pt>
                <c:pt idx="32">
                  <c:v>0.64826446771621704</c:v>
                </c:pt>
                <c:pt idx="33">
                  <c:v>0.63534367084503174</c:v>
                </c:pt>
                <c:pt idx="34">
                  <c:v>0.6356513500213623</c:v>
                </c:pt>
                <c:pt idx="35">
                  <c:v>0.63626658916473389</c:v>
                </c:pt>
                <c:pt idx="36">
                  <c:v>0.62396109104156494</c:v>
                </c:pt>
                <c:pt idx="37">
                  <c:v>0.62426871061325073</c:v>
                </c:pt>
                <c:pt idx="38">
                  <c:v>0.62488400936126709</c:v>
                </c:pt>
                <c:pt idx="39">
                  <c:v>0.61257845163345337</c:v>
                </c:pt>
                <c:pt idx="40">
                  <c:v>0.61350136995315552</c:v>
                </c:pt>
                <c:pt idx="41">
                  <c:v>0.61380904912948608</c:v>
                </c:pt>
                <c:pt idx="42">
                  <c:v>0.60181111097335815</c:v>
                </c:pt>
                <c:pt idx="43">
                  <c:v>0.60242640972137451</c:v>
                </c:pt>
                <c:pt idx="44">
                  <c:v>0.60304170846939087</c:v>
                </c:pt>
                <c:pt idx="45">
                  <c:v>0.59073615074157715</c:v>
                </c:pt>
                <c:pt idx="46">
                  <c:v>0.59196668863296509</c:v>
                </c:pt>
                <c:pt idx="47">
                  <c:v>0.59196668863296509</c:v>
                </c:pt>
                <c:pt idx="48">
                  <c:v>0.58058410882949829</c:v>
                </c:pt>
                <c:pt idx="49">
                  <c:v>0.58089172840118408</c:v>
                </c:pt>
                <c:pt idx="50">
                  <c:v>0.58119940757751465</c:v>
                </c:pt>
                <c:pt idx="51">
                  <c:v>0.56950914859771729</c:v>
                </c:pt>
                <c:pt idx="52">
                  <c:v>0.57012438774108887</c:v>
                </c:pt>
                <c:pt idx="53">
                  <c:v>0.57043206691741943</c:v>
                </c:pt>
                <c:pt idx="54">
                  <c:v>0.55843418836593628</c:v>
                </c:pt>
                <c:pt idx="55">
                  <c:v>0.55843418836593628</c:v>
                </c:pt>
                <c:pt idx="56">
                  <c:v>0.55874180793762207</c:v>
                </c:pt>
                <c:pt idx="57">
                  <c:v>0.54705154895782471</c:v>
                </c:pt>
                <c:pt idx="58">
                  <c:v>0.54705154895782471</c:v>
                </c:pt>
                <c:pt idx="59">
                  <c:v>0.5473591685295105</c:v>
                </c:pt>
                <c:pt idx="60">
                  <c:v>0.53505367040634155</c:v>
                </c:pt>
                <c:pt idx="61">
                  <c:v>0.53536128997802734</c:v>
                </c:pt>
                <c:pt idx="62">
                  <c:v>0.53536128997802734</c:v>
                </c:pt>
                <c:pt idx="63">
                  <c:v>0.5230557918548584</c:v>
                </c:pt>
                <c:pt idx="64">
                  <c:v>0.52274817228317261</c:v>
                </c:pt>
                <c:pt idx="65">
                  <c:v>0.52244049310684204</c:v>
                </c:pt>
                <c:pt idx="66">
                  <c:v>0.47075733542442322</c:v>
                </c:pt>
                <c:pt idx="67">
                  <c:v>0.47014206647872925</c:v>
                </c:pt>
                <c:pt idx="68">
                  <c:v>0.47014206647872925</c:v>
                </c:pt>
                <c:pt idx="69">
                  <c:v>0.41261374950408936</c:v>
                </c:pt>
                <c:pt idx="70">
                  <c:v>0.41169083118438721</c:v>
                </c:pt>
                <c:pt idx="71">
                  <c:v>0.41107556223869324</c:v>
                </c:pt>
                <c:pt idx="72">
                  <c:v>0.34431809186935425</c:v>
                </c:pt>
                <c:pt idx="73">
                  <c:v>0.34277990460395813</c:v>
                </c:pt>
                <c:pt idx="74">
                  <c:v>0.34216463565826416</c:v>
                </c:pt>
                <c:pt idx="75">
                  <c:v>0.26094818115234375</c:v>
                </c:pt>
                <c:pt idx="76">
                  <c:v>0.25694888830184937</c:v>
                </c:pt>
                <c:pt idx="77">
                  <c:v>0.25387248396873474</c:v>
                </c:pt>
                <c:pt idx="78">
                  <c:v>0.1511213630437851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A0-40A3-942F-857A3526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12384"/>
        <c:axId val="494510080"/>
      </c:scatterChart>
      <c:valAx>
        <c:axId val="49477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Test_Time(s)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94765184"/>
        <c:crosses val="autoZero"/>
        <c:crossBetween val="midCat"/>
        <c:minorUnit val="1"/>
      </c:valAx>
      <c:valAx>
        <c:axId val="49476518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Current(A)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94772224"/>
        <c:crosses val="autoZero"/>
        <c:crossBetween val="midCat"/>
      </c:valAx>
      <c:valAx>
        <c:axId val="4945100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512384"/>
        <c:crosses val="max"/>
        <c:crossBetween val="midCat"/>
      </c:valAx>
      <c:valAx>
        <c:axId val="494512384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9451008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9966859983429992"/>
          <c:y val="0.5"/>
          <c:w val="3.3140016570008283E-3"/>
          <c:h val="0.10798260441629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1"/>
  <sheetViews>
    <sheetView zoomScale="89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18944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7734375" defaultRowHeight="14.4" x14ac:dyDescent="0.25"/>
  <cols>
    <col min="1" max="1" width="7.77734375" style="2" customWidth="1"/>
    <col min="2" max="2" width="15.77734375" style="2" customWidth="1"/>
    <col min="3" max="4" width="18.77734375" style="2" customWidth="1"/>
    <col min="5" max="5" width="20.109375" style="2" customWidth="1"/>
    <col min="6" max="7" width="10" style="1" customWidth="1"/>
    <col min="8" max="12" width="5.44140625" style="1" customWidth="1"/>
    <col min="13" max="18" width="8.88671875" style="1" customWidth="1"/>
    <col min="19" max="20" width="11.77734375" style="1"/>
    <col min="21" max="22" width="6.44140625" style="1" customWidth="1"/>
    <col min="23" max="16384" width="11.77734375" style="1"/>
  </cols>
  <sheetData>
    <row r="1" spans="1:22" ht="18" x14ac:dyDescent="0.25">
      <c r="D1" s="4" t="s">
        <v>0</v>
      </c>
    </row>
    <row r="2" spans="1:22" x14ac:dyDescent="0.25">
      <c r="D2" s="3" t="s">
        <v>28</v>
      </c>
      <c r="L2" s="1" t="s">
        <v>1</v>
      </c>
    </row>
    <row r="3" spans="1:22" x14ac:dyDescent="0.25">
      <c r="D3" s="5">
        <v>44798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2" s="7" customFormat="1" ht="57.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</row>
    <row r="5" spans="1:22" x14ac:dyDescent="0.25">
      <c r="A5" s="15" t="s">
        <v>29</v>
      </c>
      <c r="B5" s="16">
        <v>44798.446504629632</v>
      </c>
      <c r="C5" s="2" t="s">
        <v>30</v>
      </c>
      <c r="F5" s="1">
        <v>1</v>
      </c>
      <c r="G5" s="2"/>
      <c r="H5" s="1">
        <v>8</v>
      </c>
      <c r="I5" s="1">
        <v>13</v>
      </c>
      <c r="J5" s="1">
        <v>2</v>
      </c>
      <c r="K5" s="1">
        <v>0</v>
      </c>
      <c r="L5" s="1">
        <v>2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22</v>
      </c>
      <c r="V5" s="1">
        <v>20</v>
      </c>
    </row>
  </sheetData>
  <phoneticPr fontId="1" type="noConversion"/>
  <printOptions headings="1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0"/>
  <sheetViews>
    <sheetView tabSelected="1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J8" sqref="J8:J80"/>
    </sheetView>
  </sheetViews>
  <sheetFormatPr defaultColWidth="11.77734375" defaultRowHeight="14.4" x14ac:dyDescent="0.25"/>
  <cols>
    <col min="1" max="1" width="11.77734375" style="3"/>
    <col min="2" max="2" width="11.77734375" style="23"/>
    <col min="3" max="3" width="16.33203125" style="18" customWidth="1"/>
    <col min="4" max="4" width="11.77734375" style="23"/>
    <col min="5" max="5" width="11.77734375" style="19"/>
    <col min="6" max="6" width="11.77734375" style="17"/>
    <col min="7" max="7" width="11.77734375" style="19"/>
    <col min="8" max="10" width="11.77734375" style="17"/>
    <col min="11" max="11" width="11.77734375" style="19"/>
    <col min="12" max="12" width="11.77734375" style="17"/>
    <col min="13" max="13" width="11.77734375" style="19"/>
    <col min="14" max="14" width="11.77734375" style="17"/>
    <col min="15" max="15" width="11.77734375" style="19"/>
    <col min="16" max="16" width="11.77734375" style="17"/>
    <col min="17" max="17" width="11.77734375" style="19"/>
    <col min="18" max="18" width="11.77734375" style="17"/>
    <col min="19" max="19" width="11.77734375" style="19"/>
    <col min="20" max="16384" width="11.77734375" style="1"/>
  </cols>
  <sheetData>
    <row r="1" spans="1:19" s="20" customFormat="1" ht="24.45" customHeight="1" x14ac:dyDescent="0.25">
      <c r="A1" s="20" t="s">
        <v>31</v>
      </c>
      <c r="B1" s="22" t="s">
        <v>32</v>
      </c>
      <c r="C1" s="21" t="s">
        <v>33</v>
      </c>
      <c r="D1" s="22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K1" s="20" t="s">
        <v>39</v>
      </c>
      <c r="L1" s="20" t="s">
        <v>22</v>
      </c>
      <c r="M1" s="20" t="s">
        <v>40</v>
      </c>
      <c r="N1" s="20" t="s">
        <v>41</v>
      </c>
      <c r="O1" s="20" t="s">
        <v>42</v>
      </c>
      <c r="P1" s="20" t="s">
        <v>21</v>
      </c>
      <c r="Q1" s="20" t="s">
        <v>43</v>
      </c>
      <c r="R1" s="20" t="s">
        <v>44</v>
      </c>
      <c r="S1" s="20" t="s">
        <v>45</v>
      </c>
    </row>
    <row r="2" spans="1:19" x14ac:dyDescent="0.25">
      <c r="A2" s="3">
        <v>1</v>
      </c>
      <c r="B2" s="23">
        <v>5.014628131008088</v>
      </c>
      <c r="C2" s="18">
        <v>44798.446562500001</v>
      </c>
      <c r="D2" s="23">
        <v>5.0146285405873741</v>
      </c>
      <c r="E2" s="19">
        <v>1</v>
      </c>
      <c r="F2" s="17">
        <v>1</v>
      </c>
      <c r="G2" s="19">
        <v>0</v>
      </c>
      <c r="H2" s="17">
        <v>0.87253266572952271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  <c r="R2" s="17">
        <v>0</v>
      </c>
      <c r="S2" s="19">
        <v>0</v>
      </c>
    </row>
    <row r="3" spans="1:19" x14ac:dyDescent="0.25">
      <c r="A3" s="3">
        <v>2</v>
      </c>
      <c r="B3" s="23">
        <v>10.028421238332898</v>
      </c>
      <c r="C3" s="18">
        <v>44798.446620370371</v>
      </c>
      <c r="D3" s="23">
        <v>10.028421561628436</v>
      </c>
      <c r="E3" s="19">
        <v>1</v>
      </c>
      <c r="F3" s="17">
        <v>1</v>
      </c>
      <c r="G3" s="19">
        <v>0</v>
      </c>
      <c r="H3" s="17">
        <v>0.87253266572952271</v>
      </c>
      <c r="K3" s="19">
        <v>0</v>
      </c>
      <c r="L3" s="17">
        <v>0</v>
      </c>
      <c r="M3" s="19">
        <v>0</v>
      </c>
      <c r="N3" s="17">
        <v>0</v>
      </c>
      <c r="O3" s="19">
        <v>6.1535836721304804E-5</v>
      </c>
      <c r="P3" s="17">
        <v>0</v>
      </c>
      <c r="Q3" s="19">
        <v>0</v>
      </c>
      <c r="R3" s="17">
        <v>0</v>
      </c>
      <c r="S3" s="19">
        <v>0</v>
      </c>
    </row>
    <row r="4" spans="1:19" x14ac:dyDescent="0.25">
      <c r="A4" s="3">
        <v>3</v>
      </c>
      <c r="B4" s="23">
        <v>15.033444957771088</v>
      </c>
      <c r="C4" s="18">
        <v>44798.44667824074</v>
      </c>
      <c r="D4" s="23">
        <v>15.033445281066625</v>
      </c>
      <c r="E4" s="19">
        <v>1</v>
      </c>
      <c r="F4" s="17">
        <v>1</v>
      </c>
      <c r="G4" s="19">
        <v>0</v>
      </c>
      <c r="H4" s="17">
        <v>0.87253266572952271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  <c r="R4" s="17">
        <v>0</v>
      </c>
      <c r="S4" s="19">
        <v>0</v>
      </c>
    </row>
    <row r="5" spans="1:19" x14ac:dyDescent="0.25">
      <c r="A5" s="3">
        <v>4</v>
      </c>
      <c r="B5" s="23">
        <v>20.046405500320429</v>
      </c>
      <c r="C5" s="18">
        <v>44798.446736111109</v>
      </c>
      <c r="D5" s="23">
        <v>20.046405831134471</v>
      </c>
      <c r="E5" s="19">
        <v>1</v>
      </c>
      <c r="F5" s="17">
        <v>1</v>
      </c>
      <c r="G5" s="19">
        <v>0</v>
      </c>
      <c r="H5" s="17">
        <v>0.87222498655319214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  <c r="R5" s="17">
        <v>0</v>
      </c>
      <c r="S5" s="19">
        <v>0</v>
      </c>
    </row>
    <row r="6" spans="1:19" x14ac:dyDescent="0.25">
      <c r="A6" s="3">
        <v>5</v>
      </c>
      <c r="B6" s="23">
        <v>25.048375873846716</v>
      </c>
      <c r="C6" s="18">
        <v>44798.446793981479</v>
      </c>
      <c r="D6" s="23">
        <v>25.048376197142257</v>
      </c>
      <c r="E6" s="19">
        <v>1</v>
      </c>
      <c r="F6" s="17">
        <v>1</v>
      </c>
      <c r="G6" s="19">
        <v>0</v>
      </c>
      <c r="H6" s="17">
        <v>0.87222498655319214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  <c r="R6" s="17">
        <v>0</v>
      </c>
      <c r="S6" s="19">
        <v>0</v>
      </c>
    </row>
    <row r="7" spans="1:19" x14ac:dyDescent="0.25">
      <c r="A7" s="3">
        <v>6</v>
      </c>
      <c r="B7" s="23">
        <v>30.012610677345325</v>
      </c>
      <c r="C7" s="18">
        <v>44798.446851851855</v>
      </c>
      <c r="D7" s="23">
        <v>30.012611000640863</v>
      </c>
      <c r="E7" s="19">
        <v>1</v>
      </c>
      <c r="F7" s="17">
        <v>1</v>
      </c>
      <c r="G7" s="19">
        <v>0</v>
      </c>
      <c r="H7" s="17">
        <v>0.87222498655319214</v>
      </c>
      <c r="K7" s="19">
        <v>0</v>
      </c>
      <c r="L7" s="17">
        <v>0</v>
      </c>
      <c r="M7" s="19">
        <v>0</v>
      </c>
      <c r="N7" s="17">
        <v>0</v>
      </c>
      <c r="O7" s="19">
        <v>-6.1535836721304804E-5</v>
      </c>
      <c r="P7" s="17">
        <v>0</v>
      </c>
      <c r="Q7" s="19">
        <v>0</v>
      </c>
      <c r="R7" s="17">
        <v>0</v>
      </c>
      <c r="S7" s="19">
        <v>0</v>
      </c>
    </row>
    <row r="8" spans="1:19" x14ac:dyDescent="0.25">
      <c r="A8" s="3">
        <v>7</v>
      </c>
      <c r="B8" s="23">
        <v>31.029172193719543</v>
      </c>
      <c r="C8" s="18">
        <v>44798.446863425925</v>
      </c>
      <c r="D8" s="23">
        <v>1.0133304631754569</v>
      </c>
      <c r="E8" s="19">
        <v>2</v>
      </c>
      <c r="F8" s="17">
        <v>1</v>
      </c>
      <c r="G8" s="19">
        <v>-0.27514734864234924</v>
      </c>
      <c r="H8" s="17">
        <v>0.80546754598617554</v>
      </c>
      <c r="I8" s="17">
        <f>G8/6.25</f>
        <v>-4.4023575782775881E-2</v>
      </c>
      <c r="J8" s="17">
        <f>H8*I8</f>
        <v>-3.5459561551288918E-2</v>
      </c>
      <c r="K8" s="19">
        <v>0</v>
      </c>
      <c r="L8" s="17">
        <v>7.0332991989999994E-5</v>
      </c>
      <c r="M8" s="19">
        <v>0</v>
      </c>
      <c r="N8" s="17">
        <v>5.7638261945999999E-5</v>
      </c>
      <c r="O8" s="19">
        <v>-1.2243998236954212E-2</v>
      </c>
      <c r="P8" s="17">
        <v>0</v>
      </c>
      <c r="Q8" s="19">
        <v>0</v>
      </c>
      <c r="R8" s="17">
        <v>0</v>
      </c>
      <c r="S8" s="19">
        <v>0</v>
      </c>
    </row>
    <row r="9" spans="1:19" x14ac:dyDescent="0.25">
      <c r="A9" s="3">
        <v>8</v>
      </c>
      <c r="B9" s="23">
        <v>32.032145696016272</v>
      </c>
      <c r="C9" s="18">
        <v>44798.446875000001</v>
      </c>
      <c r="D9" s="23">
        <v>2.0163039654721802</v>
      </c>
      <c r="E9" s="19">
        <v>2</v>
      </c>
      <c r="F9" s="17">
        <v>1</v>
      </c>
      <c r="G9" s="19">
        <v>-0.27514734864234924</v>
      </c>
      <c r="H9" s="17">
        <v>0.80454462766647339</v>
      </c>
      <c r="I9" s="17">
        <f t="shared" ref="I9:I72" si="0">G9/6.25</f>
        <v>-4.4023575782775881E-2</v>
      </c>
      <c r="J9" s="17">
        <f t="shared" ref="J9:J72" si="1">H9*I9</f>
        <v>-3.5418931386700193E-2</v>
      </c>
      <c r="K9" s="19">
        <v>0</v>
      </c>
      <c r="L9" s="17">
        <v>1.4699065583000001E-4</v>
      </c>
      <c r="M9" s="19">
        <v>0</v>
      </c>
      <c r="N9" s="17">
        <v>1.19352469668E-4</v>
      </c>
      <c r="O9" s="19">
        <v>-1.2428581714630127E-2</v>
      </c>
      <c r="P9" s="17">
        <v>0</v>
      </c>
      <c r="Q9" s="19">
        <v>0</v>
      </c>
      <c r="R9" s="17">
        <v>0</v>
      </c>
      <c r="S9" s="19">
        <v>0</v>
      </c>
    </row>
    <row r="10" spans="1:19" x14ac:dyDescent="0.25">
      <c r="A10" s="3">
        <v>9</v>
      </c>
      <c r="B10" s="23">
        <v>33.023398776632504</v>
      </c>
      <c r="C10" s="18">
        <v>44798.446886574071</v>
      </c>
      <c r="D10" s="23">
        <v>3.0075570500266728</v>
      </c>
      <c r="E10" s="19">
        <v>2</v>
      </c>
      <c r="F10" s="17">
        <v>1</v>
      </c>
      <c r="G10" s="19">
        <v>-0.27514734864234924</v>
      </c>
      <c r="H10" s="17">
        <v>0.80485224723815918</v>
      </c>
      <c r="I10" s="17">
        <f t="shared" si="0"/>
        <v>-4.4023575782775881E-2</v>
      </c>
      <c r="J10" s="17">
        <f t="shared" si="1"/>
        <v>-3.5432473900226573E-2</v>
      </c>
      <c r="K10" s="19">
        <v>0</v>
      </c>
      <c r="L10" s="17">
        <v>2.22751347955E-4</v>
      </c>
      <c r="M10" s="19">
        <v>0</v>
      </c>
      <c r="N10" s="17">
        <v>1.80317346833E-4</v>
      </c>
      <c r="O10" s="19">
        <v>-1.2305975542403758E-4</v>
      </c>
      <c r="P10" s="17">
        <v>0</v>
      </c>
      <c r="Q10" s="19">
        <v>0</v>
      </c>
      <c r="R10" s="17">
        <v>0</v>
      </c>
      <c r="S10" s="19">
        <v>0</v>
      </c>
    </row>
    <row r="11" spans="1:19" x14ac:dyDescent="0.25">
      <c r="A11" s="3">
        <v>10</v>
      </c>
      <c r="B11" s="23">
        <v>34.028299071644156</v>
      </c>
      <c r="C11" s="18">
        <v>44798.44689814814</v>
      </c>
      <c r="D11" s="23">
        <v>1.001697165525167</v>
      </c>
      <c r="E11" s="19">
        <v>3</v>
      </c>
      <c r="F11" s="17">
        <v>1</v>
      </c>
      <c r="G11" s="19">
        <v>-0.62515902519226074</v>
      </c>
      <c r="H11" s="17">
        <v>0.76547461748123169</v>
      </c>
      <c r="I11" s="17">
        <f t="shared" si="0"/>
        <v>-0.10002544403076172</v>
      </c>
      <c r="J11" s="17">
        <f t="shared" si="1"/>
        <v>-7.6566938507837676E-2</v>
      </c>
      <c r="K11" s="19">
        <v>0</v>
      </c>
      <c r="L11" s="17">
        <v>3.9379027398700001E-4</v>
      </c>
      <c r="M11" s="19">
        <v>0</v>
      </c>
      <c r="N11" s="17">
        <v>3.1167163273499999E-4</v>
      </c>
      <c r="O11" s="19">
        <v>-7.8755263239145279E-3</v>
      </c>
      <c r="P11" s="17">
        <v>0</v>
      </c>
      <c r="Q11" s="19">
        <v>0</v>
      </c>
      <c r="R11" s="17">
        <v>0</v>
      </c>
      <c r="S11" s="19">
        <v>0</v>
      </c>
    </row>
    <row r="12" spans="1:19" x14ac:dyDescent="0.25">
      <c r="A12" s="3">
        <v>11</v>
      </c>
      <c r="B12" s="23">
        <v>35.030277218584295</v>
      </c>
      <c r="C12" s="18">
        <v>44798.446909722225</v>
      </c>
      <c r="D12" s="23">
        <v>2.003675312465317</v>
      </c>
      <c r="E12" s="19">
        <v>3</v>
      </c>
      <c r="F12" s="17">
        <v>1</v>
      </c>
      <c r="G12" s="19">
        <v>-0.62515902519226074</v>
      </c>
      <c r="H12" s="17">
        <v>0.76547461748123169</v>
      </c>
      <c r="I12" s="17">
        <f t="shared" si="0"/>
        <v>-0.10002544403076172</v>
      </c>
      <c r="J12" s="17">
        <f t="shared" si="1"/>
        <v>-7.6566938507837676E-2</v>
      </c>
      <c r="K12" s="19">
        <v>0</v>
      </c>
      <c r="L12" s="17">
        <v>5.6779146592799996E-4</v>
      </c>
      <c r="M12" s="19">
        <v>0</v>
      </c>
      <c r="N12" s="17">
        <v>4.4487345524799998E-4</v>
      </c>
      <c r="O12" s="19">
        <v>-7.8755263239145279E-3</v>
      </c>
      <c r="P12" s="17">
        <v>0</v>
      </c>
      <c r="Q12" s="19">
        <v>0</v>
      </c>
      <c r="R12" s="17">
        <v>0</v>
      </c>
      <c r="S12" s="19">
        <v>0</v>
      </c>
    </row>
    <row r="13" spans="1:19" x14ac:dyDescent="0.25">
      <c r="A13" s="3">
        <v>12</v>
      </c>
      <c r="B13" s="23">
        <v>36.036154648044658</v>
      </c>
      <c r="C13" s="18">
        <v>44798.446921296294</v>
      </c>
      <c r="D13" s="23">
        <v>3.00955274586393</v>
      </c>
      <c r="E13" s="19">
        <v>3</v>
      </c>
      <c r="F13" s="17">
        <v>1</v>
      </c>
      <c r="G13" s="19">
        <v>-0.62515902519226074</v>
      </c>
      <c r="H13" s="17">
        <v>0.76547461748123169</v>
      </c>
      <c r="I13" s="17">
        <f t="shared" si="0"/>
        <v>-0.10002544403076172</v>
      </c>
      <c r="J13" s="17">
        <f t="shared" si="1"/>
        <v>-7.6566938507837676E-2</v>
      </c>
      <c r="K13" s="19">
        <v>0</v>
      </c>
      <c r="L13" s="17">
        <v>7.4246932687400003E-4</v>
      </c>
      <c r="M13" s="19">
        <v>0</v>
      </c>
      <c r="N13" s="17">
        <v>5.7861267535999996E-4</v>
      </c>
      <c r="O13" s="19">
        <v>0</v>
      </c>
      <c r="P13" s="17">
        <v>0</v>
      </c>
      <c r="Q13" s="19">
        <v>0</v>
      </c>
      <c r="R13" s="17">
        <v>0</v>
      </c>
      <c r="S13" s="19">
        <v>0</v>
      </c>
    </row>
    <row r="14" spans="1:19" x14ac:dyDescent="0.25">
      <c r="A14" s="3">
        <v>13</v>
      </c>
      <c r="B14" s="23">
        <v>37.044014022004141</v>
      </c>
      <c r="C14" s="18">
        <v>44798.446932870371</v>
      </c>
      <c r="D14" s="23">
        <v>1.0049949493575261</v>
      </c>
      <c r="E14" s="19">
        <v>4</v>
      </c>
      <c r="F14" s="17">
        <v>1</v>
      </c>
      <c r="G14" s="19">
        <v>-0.93764752149581909</v>
      </c>
      <c r="H14" s="17">
        <v>0.74117118120193481</v>
      </c>
      <c r="I14" s="17">
        <f t="shared" si="0"/>
        <v>-0.15002360343933105</v>
      </c>
      <c r="J14" s="17">
        <f t="shared" si="1"/>
        <v>-0.11119317136929964</v>
      </c>
      <c r="K14" s="19">
        <v>0</v>
      </c>
      <c r="L14" s="17">
        <v>1.002423958328E-3</v>
      </c>
      <c r="M14" s="19">
        <v>0</v>
      </c>
      <c r="N14" s="17">
        <v>7.7147315872299997E-4</v>
      </c>
      <c r="O14" s="19">
        <v>-4.8606870695948601E-3</v>
      </c>
      <c r="P14" s="17">
        <v>0</v>
      </c>
      <c r="Q14" s="19">
        <v>0</v>
      </c>
      <c r="R14" s="17">
        <v>0</v>
      </c>
      <c r="S14" s="19">
        <v>0</v>
      </c>
    </row>
    <row r="15" spans="1:19" x14ac:dyDescent="0.25">
      <c r="A15" s="3">
        <v>14</v>
      </c>
      <c r="B15" s="23">
        <v>38.050897754116377</v>
      </c>
      <c r="C15" s="18">
        <v>44798.446944444448</v>
      </c>
      <c r="D15" s="23">
        <v>2.0118786811117362</v>
      </c>
      <c r="E15" s="19">
        <v>4</v>
      </c>
      <c r="F15" s="17">
        <v>1</v>
      </c>
      <c r="G15" s="19">
        <v>-0.93764752149581909</v>
      </c>
      <c r="H15" s="17">
        <v>0.74086356163024902</v>
      </c>
      <c r="I15" s="17">
        <f t="shared" si="0"/>
        <v>-0.15002360343933105</v>
      </c>
      <c r="J15" s="17">
        <f t="shared" si="1"/>
        <v>-0.11114702117266688</v>
      </c>
      <c r="K15" s="19">
        <v>0</v>
      </c>
      <c r="L15" s="17">
        <v>1.2646845374360001E-3</v>
      </c>
      <c r="M15" s="19">
        <v>0</v>
      </c>
      <c r="N15" s="17">
        <v>9.6580834749799996E-4</v>
      </c>
      <c r="O15" s="19">
        <v>-4.9222111701965332E-3</v>
      </c>
      <c r="P15" s="17">
        <v>0</v>
      </c>
      <c r="Q15" s="19">
        <v>0</v>
      </c>
      <c r="R15" s="17">
        <v>0</v>
      </c>
      <c r="S15" s="19">
        <v>0</v>
      </c>
    </row>
    <row r="16" spans="1:19" x14ac:dyDescent="0.25">
      <c r="A16" s="3">
        <v>15</v>
      </c>
      <c r="B16" s="23">
        <v>39.051906623441255</v>
      </c>
      <c r="C16" s="18">
        <v>44798.446956018517</v>
      </c>
      <c r="D16" s="23">
        <v>3.0128875468563709</v>
      </c>
      <c r="E16" s="19">
        <v>4</v>
      </c>
      <c r="F16" s="17">
        <v>1</v>
      </c>
      <c r="G16" s="19">
        <v>-0.93771582841873169</v>
      </c>
      <c r="H16" s="17">
        <v>0.74117118120193481</v>
      </c>
      <c r="I16" s="17">
        <f t="shared" si="0"/>
        <v>-0.15003453254699706</v>
      </c>
      <c r="J16" s="17">
        <f t="shared" si="1"/>
        <v>-0.11120127170893794</v>
      </c>
      <c r="K16" s="19">
        <v>0</v>
      </c>
      <c r="L16" s="17">
        <v>1.5254160794460001E-3</v>
      </c>
      <c r="M16" s="19">
        <v>0</v>
      </c>
      <c r="N16" s="17">
        <v>1.1590819347190001E-3</v>
      </c>
      <c r="O16" s="19">
        <v>6.1523911426775157E-5</v>
      </c>
      <c r="P16" s="17">
        <v>0</v>
      </c>
      <c r="Q16" s="19">
        <v>0</v>
      </c>
      <c r="R16" s="17">
        <v>0</v>
      </c>
      <c r="S16" s="19">
        <v>0</v>
      </c>
    </row>
    <row r="17" spans="1:19" x14ac:dyDescent="0.25">
      <c r="A17" s="3">
        <v>16</v>
      </c>
      <c r="B17" s="23">
        <v>40.066621013135894</v>
      </c>
      <c r="C17" s="18">
        <v>44798.446967592594</v>
      </c>
      <c r="D17" s="23">
        <v>1.011810726036569</v>
      </c>
      <c r="E17" s="19">
        <v>5</v>
      </c>
      <c r="F17" s="17">
        <v>1</v>
      </c>
      <c r="G17" s="19">
        <v>-1.2509503364562988</v>
      </c>
      <c r="H17" s="17">
        <v>0.72055941820144653</v>
      </c>
      <c r="I17" s="17">
        <f t="shared" si="0"/>
        <v>-0.20015205383300783</v>
      </c>
      <c r="J17" s="17">
        <f t="shared" si="1"/>
        <v>-0.14422144746173673</v>
      </c>
      <c r="K17" s="19">
        <v>0</v>
      </c>
      <c r="L17" s="17">
        <v>1.8560501424669999E-3</v>
      </c>
      <c r="M17" s="19">
        <v>0</v>
      </c>
      <c r="N17" s="17">
        <v>1.398080421819E-3</v>
      </c>
      <c r="O17" s="19">
        <v>-1.6489410772919655E-2</v>
      </c>
      <c r="P17" s="17">
        <v>0</v>
      </c>
      <c r="Q17" s="19">
        <v>0</v>
      </c>
      <c r="R17" s="17">
        <v>0</v>
      </c>
      <c r="S17" s="19">
        <v>0</v>
      </c>
    </row>
    <row r="18" spans="1:19" x14ac:dyDescent="0.25">
      <c r="A18" s="3">
        <v>17</v>
      </c>
      <c r="B18" s="23">
        <v>41.068517392440683</v>
      </c>
      <c r="C18" s="18">
        <v>44798.446979166663</v>
      </c>
      <c r="D18" s="23">
        <v>2.0137070978228571</v>
      </c>
      <c r="E18" s="19">
        <v>5</v>
      </c>
      <c r="F18" s="17">
        <v>1</v>
      </c>
      <c r="G18" s="19">
        <v>-1.2513201236724854</v>
      </c>
      <c r="H18" s="17">
        <v>0.72055941820144653</v>
      </c>
      <c r="I18" s="17">
        <f t="shared" si="0"/>
        <v>-0.20021121978759765</v>
      </c>
      <c r="J18" s="17">
        <f t="shared" si="1"/>
        <v>-0.14426408004755331</v>
      </c>
      <c r="K18" s="19">
        <v>0</v>
      </c>
      <c r="L18" s="17">
        <v>2.2042041935329999E-3</v>
      </c>
      <c r="M18" s="19">
        <v>0</v>
      </c>
      <c r="N18" s="17">
        <v>1.6489510303750001E-3</v>
      </c>
      <c r="O18" s="19">
        <v>-1.6489410772919655E-2</v>
      </c>
      <c r="P18" s="17">
        <v>0</v>
      </c>
      <c r="Q18" s="19">
        <v>0</v>
      </c>
      <c r="R18" s="17">
        <v>0</v>
      </c>
      <c r="S18" s="19">
        <v>0</v>
      </c>
    </row>
    <row r="19" spans="1:19" x14ac:dyDescent="0.25">
      <c r="A19" s="3">
        <v>18</v>
      </c>
      <c r="B19" s="23">
        <v>42.057857687667152</v>
      </c>
      <c r="C19" s="18">
        <v>44798.44699074074</v>
      </c>
      <c r="D19" s="23">
        <v>3.0030473930493251</v>
      </c>
      <c r="E19" s="19">
        <v>5</v>
      </c>
      <c r="F19" s="17">
        <v>1</v>
      </c>
      <c r="G19" s="19">
        <v>-1.2516900300979614</v>
      </c>
      <c r="H19" s="17">
        <v>0.72055941820144653</v>
      </c>
      <c r="I19" s="17">
        <f t="shared" si="0"/>
        <v>-0.20027040481567382</v>
      </c>
      <c r="J19" s="17">
        <f t="shared" si="1"/>
        <v>-0.14430672637695011</v>
      </c>
      <c r="K19" s="19">
        <v>0</v>
      </c>
      <c r="L19" s="17">
        <v>2.5479823462740002E-3</v>
      </c>
      <c r="M19" s="19">
        <v>0</v>
      </c>
      <c r="N19" s="17">
        <v>1.8968080605689999E-3</v>
      </c>
      <c r="O19" s="19">
        <v>0</v>
      </c>
      <c r="P19" s="17">
        <v>0</v>
      </c>
      <c r="Q19" s="19">
        <v>0</v>
      </c>
      <c r="R19" s="17">
        <v>0</v>
      </c>
      <c r="S19" s="19">
        <v>0</v>
      </c>
    </row>
    <row r="20" spans="1:19" x14ac:dyDescent="0.25">
      <c r="A20" s="3">
        <v>19</v>
      </c>
      <c r="B20" s="23">
        <v>43.06285847102334</v>
      </c>
      <c r="C20" s="18">
        <v>44798.447002314817</v>
      </c>
      <c r="D20" s="23">
        <v>1.001818596832921</v>
      </c>
      <c r="E20" s="19">
        <v>6</v>
      </c>
      <c r="F20" s="17">
        <v>1</v>
      </c>
      <c r="G20" s="19">
        <v>-1.5631206035614014</v>
      </c>
      <c r="H20" s="17">
        <v>0.70302408933639526</v>
      </c>
      <c r="I20" s="17">
        <f t="shared" si="0"/>
        <v>-0.25009929656982421</v>
      </c>
      <c r="J20" s="17">
        <f t="shared" si="1"/>
        <v>-0.17582583021467371</v>
      </c>
      <c r="K20" s="19">
        <v>0</v>
      </c>
      <c r="L20" s="17">
        <v>2.9812472106429998E-3</v>
      </c>
      <c r="M20" s="19">
        <v>0</v>
      </c>
      <c r="N20" s="17">
        <v>2.2017508970739999E-3</v>
      </c>
      <c r="O20" s="19">
        <v>-3.6916495300829411E-3</v>
      </c>
      <c r="P20" s="17">
        <v>0</v>
      </c>
      <c r="Q20" s="19">
        <v>0</v>
      </c>
      <c r="R20" s="17">
        <v>0</v>
      </c>
      <c r="S20" s="19">
        <v>0</v>
      </c>
    </row>
    <row r="21" spans="1:19" x14ac:dyDescent="0.25">
      <c r="A21" s="3">
        <v>20</v>
      </c>
      <c r="B21" s="23">
        <v>44.066718829548421</v>
      </c>
      <c r="C21" s="18">
        <v>44798.447013888886</v>
      </c>
      <c r="D21" s="23">
        <v>2.0056787638152449</v>
      </c>
      <c r="E21" s="19">
        <v>6</v>
      </c>
      <c r="F21" s="17">
        <v>1</v>
      </c>
      <c r="G21" s="19">
        <v>-1.563860297203064</v>
      </c>
      <c r="H21" s="17">
        <v>0.70333170890808105</v>
      </c>
      <c r="I21" s="17">
        <f t="shared" si="0"/>
        <v>-0.25021764755249021</v>
      </c>
      <c r="J21" s="17">
        <f t="shared" si="1"/>
        <v>-0.17598600565205286</v>
      </c>
      <c r="K21" s="19">
        <v>0</v>
      </c>
      <c r="L21" s="17">
        <v>3.417129688619E-3</v>
      </c>
      <c r="M21" s="19">
        <v>0</v>
      </c>
      <c r="N21" s="17">
        <v>2.508382660829E-3</v>
      </c>
      <c r="O21" s="19">
        <v>-3.6301254294812679E-3</v>
      </c>
      <c r="P21" s="17">
        <v>0</v>
      </c>
      <c r="Q21" s="19">
        <v>0</v>
      </c>
      <c r="R21" s="17">
        <v>0</v>
      </c>
      <c r="S21" s="19">
        <v>0</v>
      </c>
    </row>
    <row r="22" spans="1:19" x14ac:dyDescent="0.25">
      <c r="A22" s="3">
        <v>21</v>
      </c>
      <c r="B22" s="23">
        <v>45.074681966338595</v>
      </c>
      <c r="C22" s="18">
        <v>44798.447025462963</v>
      </c>
      <c r="D22" s="23">
        <v>3.0136419006054189</v>
      </c>
      <c r="E22" s="19">
        <v>6</v>
      </c>
      <c r="F22" s="17">
        <v>1</v>
      </c>
      <c r="G22" s="19">
        <v>-1.5627506971359253</v>
      </c>
      <c r="H22" s="17">
        <v>0.7042546272277832</v>
      </c>
      <c r="I22" s="17">
        <f t="shared" si="0"/>
        <v>-0.25004011154174804</v>
      </c>
      <c r="J22" s="17">
        <f t="shared" si="1"/>
        <v>-0.1760919055458271</v>
      </c>
      <c r="K22" s="19">
        <v>0</v>
      </c>
      <c r="L22" s="17">
        <v>3.8547898864950002E-3</v>
      </c>
      <c r="M22" s="19">
        <v>0</v>
      </c>
      <c r="N22" s="17">
        <v>2.8164189131439999E-3</v>
      </c>
      <c r="O22" s="19">
        <v>1.8458366685081273E-4</v>
      </c>
      <c r="P22" s="17">
        <v>0</v>
      </c>
      <c r="Q22" s="19">
        <v>0</v>
      </c>
      <c r="R22" s="17">
        <v>0</v>
      </c>
      <c r="S22" s="19">
        <v>0</v>
      </c>
    </row>
    <row r="23" spans="1:19" x14ac:dyDescent="0.25">
      <c r="A23" s="3">
        <v>22</v>
      </c>
      <c r="B23" s="23">
        <v>46.078565463229161</v>
      </c>
      <c r="C23" s="18">
        <v>44798.44703703704</v>
      </c>
      <c r="D23" s="23">
        <v>1.000696881612253</v>
      </c>
      <c r="E23" s="19">
        <v>7</v>
      </c>
      <c r="F23" s="17">
        <v>1</v>
      </c>
      <c r="G23" s="19">
        <v>-1.8764004707336426</v>
      </c>
      <c r="H23" s="17">
        <v>0.68764215707778931</v>
      </c>
      <c r="I23" s="17">
        <f t="shared" si="0"/>
        <v>-0.30022407531738282</v>
      </c>
      <c r="J23" s="17">
        <f t="shared" si="1"/>
        <v>-0.2064467307579298</v>
      </c>
      <c r="K23" s="19">
        <v>0</v>
      </c>
      <c r="L23" s="17">
        <v>4.3775823870189998E-3</v>
      </c>
      <c r="M23" s="19">
        <v>0</v>
      </c>
      <c r="N23" s="17">
        <v>3.1759714406519998E-3</v>
      </c>
      <c r="O23" s="19">
        <v>-5.5375101510435343E-4</v>
      </c>
      <c r="P23" s="17">
        <v>0</v>
      </c>
      <c r="Q23" s="19">
        <v>0</v>
      </c>
      <c r="R23" s="17">
        <v>0</v>
      </c>
      <c r="S23" s="19">
        <v>0</v>
      </c>
    </row>
    <row r="24" spans="1:19" x14ac:dyDescent="0.25">
      <c r="A24" s="3">
        <v>23</v>
      </c>
      <c r="B24" s="23">
        <v>47.080523844030488</v>
      </c>
      <c r="C24" s="18">
        <v>44798.447048611109</v>
      </c>
      <c r="D24" s="23">
        <v>2.0026552588333439</v>
      </c>
      <c r="E24" s="19">
        <v>7</v>
      </c>
      <c r="F24" s="17">
        <v>1</v>
      </c>
      <c r="G24" s="19">
        <v>-1.8760305643081665</v>
      </c>
      <c r="H24" s="17">
        <v>0.68825745582580566</v>
      </c>
      <c r="I24" s="17">
        <f t="shared" si="0"/>
        <v>-0.30016489028930665</v>
      </c>
      <c r="J24" s="17">
        <f t="shared" si="1"/>
        <v>-0.20659072371875029</v>
      </c>
      <c r="K24" s="19">
        <v>0</v>
      </c>
      <c r="L24" s="17">
        <v>4.8996558874180004E-3</v>
      </c>
      <c r="M24" s="19">
        <v>0</v>
      </c>
      <c r="N24" s="17">
        <v>3.5351442352789999E-3</v>
      </c>
      <c r="O24" s="19">
        <v>-4.306912305764854E-4</v>
      </c>
      <c r="P24" s="17">
        <v>0</v>
      </c>
      <c r="Q24" s="19">
        <v>0</v>
      </c>
      <c r="R24" s="17">
        <v>0</v>
      </c>
      <c r="S24" s="19">
        <v>0</v>
      </c>
    </row>
    <row r="25" spans="1:19" x14ac:dyDescent="0.25">
      <c r="A25" s="3">
        <v>24</v>
      </c>
      <c r="B25" s="23">
        <v>48.08251631729506</v>
      </c>
      <c r="C25" s="18">
        <v>44798.447060185186</v>
      </c>
      <c r="D25" s="23">
        <v>3.0046477320979119</v>
      </c>
      <c r="E25" s="19">
        <v>7</v>
      </c>
      <c r="F25" s="17">
        <v>1</v>
      </c>
      <c r="G25" s="19">
        <v>-1.8752908706665039</v>
      </c>
      <c r="H25" s="17">
        <v>0.68887269496917725</v>
      </c>
      <c r="I25" s="17">
        <f t="shared" si="0"/>
        <v>-0.3000465393066406</v>
      </c>
      <c r="J25" s="17">
        <f t="shared" si="1"/>
        <v>-0.20669386814834068</v>
      </c>
      <c r="K25" s="19">
        <v>0</v>
      </c>
      <c r="L25" s="17">
        <v>5.4217656259450001E-3</v>
      </c>
      <c r="M25" s="19">
        <v>0</v>
      </c>
      <c r="N25" s="17">
        <v>3.8945325389510002E-3</v>
      </c>
      <c r="O25" s="19">
        <v>2.4610757827758789E-4</v>
      </c>
      <c r="P25" s="17">
        <v>0</v>
      </c>
      <c r="Q25" s="19">
        <v>0</v>
      </c>
      <c r="R25" s="17">
        <v>0</v>
      </c>
      <c r="S25" s="19">
        <v>0</v>
      </c>
    </row>
    <row r="26" spans="1:19" x14ac:dyDescent="0.25">
      <c r="A26" s="3">
        <v>25</v>
      </c>
      <c r="B26" s="23">
        <v>49.091305899159003</v>
      </c>
      <c r="C26" s="18">
        <v>44798.447071759256</v>
      </c>
      <c r="D26" s="23">
        <v>1.0055926512024229</v>
      </c>
      <c r="E26" s="19">
        <v>8</v>
      </c>
      <c r="F26" s="17">
        <v>1</v>
      </c>
      <c r="G26" s="19">
        <v>-2.1885707378387451</v>
      </c>
      <c r="H26" s="17">
        <v>0.67349082231521606</v>
      </c>
      <c r="I26" s="17">
        <f t="shared" si="0"/>
        <v>-0.35017131805419921</v>
      </c>
      <c r="J26" s="17">
        <f t="shared" si="1"/>
        <v>-0.23583716894752568</v>
      </c>
      <c r="K26" s="19">
        <v>0</v>
      </c>
      <c r="L26" s="17">
        <v>6.0293806894450002E-3</v>
      </c>
      <c r="M26" s="19">
        <v>0</v>
      </c>
      <c r="N26" s="17">
        <v>4.3039676506810001E-3</v>
      </c>
      <c r="O26" s="19">
        <v>-3.0763745307922363E-3</v>
      </c>
      <c r="P26" s="17">
        <v>0</v>
      </c>
      <c r="Q26" s="19">
        <v>0</v>
      </c>
      <c r="R26" s="17">
        <v>0</v>
      </c>
      <c r="S26" s="19">
        <v>0</v>
      </c>
    </row>
    <row r="27" spans="1:19" x14ac:dyDescent="0.25">
      <c r="A27" s="3">
        <v>26</v>
      </c>
      <c r="B27" s="23">
        <v>50.096210765419194</v>
      </c>
      <c r="C27" s="18">
        <v>44798.447083333333</v>
      </c>
      <c r="D27" s="23">
        <v>2.0104973935863608</v>
      </c>
      <c r="E27" s="19">
        <v>8</v>
      </c>
      <c r="F27" s="17">
        <v>1</v>
      </c>
      <c r="G27" s="19">
        <v>-2.1885707378387451</v>
      </c>
      <c r="H27" s="17">
        <v>0.67379844188690186</v>
      </c>
      <c r="I27" s="17">
        <f t="shared" si="0"/>
        <v>-0.35017131805419921</v>
      </c>
      <c r="J27" s="17">
        <f t="shared" si="1"/>
        <v>-0.23594488849840217</v>
      </c>
      <c r="K27" s="19">
        <v>0</v>
      </c>
      <c r="L27" s="17">
        <v>6.6402453593599996E-3</v>
      </c>
      <c r="M27" s="19">
        <v>0</v>
      </c>
      <c r="N27" s="17">
        <v>4.7154220141699997E-3</v>
      </c>
      <c r="O27" s="19">
        <v>-3.0148506630212069E-3</v>
      </c>
      <c r="P27" s="17">
        <v>0</v>
      </c>
      <c r="Q27" s="19">
        <v>0</v>
      </c>
      <c r="R27" s="17">
        <v>0</v>
      </c>
      <c r="S27" s="19">
        <v>0</v>
      </c>
    </row>
    <row r="28" spans="1:19" x14ac:dyDescent="0.25">
      <c r="A28" s="3">
        <v>27</v>
      </c>
      <c r="B28" s="23">
        <v>51.100177510731768</v>
      </c>
      <c r="C28" s="18">
        <v>44798.447094907409</v>
      </c>
      <c r="D28" s="23">
        <v>3.0144640411584218</v>
      </c>
      <c r="E28" s="19">
        <v>8</v>
      </c>
      <c r="F28" s="17">
        <v>1</v>
      </c>
      <c r="G28" s="19">
        <v>-2.187830924987793</v>
      </c>
      <c r="H28" s="17">
        <v>0.67410606145858765</v>
      </c>
      <c r="I28" s="17">
        <f t="shared" si="0"/>
        <v>-0.35005294799804687</v>
      </c>
      <c r="J28" s="17">
        <f t="shared" si="1"/>
        <v>-0.23597281407693116</v>
      </c>
      <c r="K28" s="19">
        <v>0</v>
      </c>
      <c r="L28" s="17">
        <v>7.2505496683119997E-3</v>
      </c>
      <c r="M28" s="19">
        <v>0</v>
      </c>
      <c r="N28" s="17">
        <v>5.1266983972949997E-3</v>
      </c>
      <c r="O28" s="19">
        <v>1.8458366685081273E-4</v>
      </c>
      <c r="P28" s="17">
        <v>0</v>
      </c>
      <c r="Q28" s="19">
        <v>0</v>
      </c>
      <c r="R28" s="17">
        <v>0</v>
      </c>
      <c r="S28" s="19">
        <v>0</v>
      </c>
    </row>
    <row r="29" spans="1:19" x14ac:dyDescent="0.25">
      <c r="A29" s="3">
        <v>28</v>
      </c>
      <c r="B29" s="23">
        <v>52.110011998453338</v>
      </c>
      <c r="C29" s="18">
        <v>44798.447106481479</v>
      </c>
      <c r="D29" s="23">
        <v>1.0066240316349879</v>
      </c>
      <c r="E29" s="19">
        <v>9</v>
      </c>
      <c r="F29" s="17">
        <v>1</v>
      </c>
      <c r="G29" s="19">
        <v>-2.5014808177947998</v>
      </c>
      <c r="H29" s="17">
        <v>0.65964710712432861</v>
      </c>
      <c r="I29" s="17">
        <f t="shared" si="0"/>
        <v>-0.40023693084716799</v>
      </c>
      <c r="J29" s="17">
        <f t="shared" si="1"/>
        <v>-0.26401513359765433</v>
      </c>
      <c r="K29" s="19">
        <v>0</v>
      </c>
      <c r="L29" s="17">
        <v>7.9495676852930006E-3</v>
      </c>
      <c r="M29" s="19">
        <v>0</v>
      </c>
      <c r="N29" s="17">
        <v>5.5880962436699998E-3</v>
      </c>
      <c r="O29" s="19">
        <v>-2.8917908202856779E-3</v>
      </c>
      <c r="P29" s="17">
        <v>0</v>
      </c>
      <c r="Q29" s="19">
        <v>0</v>
      </c>
      <c r="R29" s="17">
        <v>0</v>
      </c>
      <c r="S29" s="19">
        <v>0</v>
      </c>
    </row>
    <row r="30" spans="1:19" x14ac:dyDescent="0.25">
      <c r="A30" s="3">
        <v>29</v>
      </c>
      <c r="B30" s="23">
        <v>53.114905891640504</v>
      </c>
      <c r="C30" s="18">
        <v>44798.447118055556</v>
      </c>
      <c r="D30" s="23">
        <v>2.0115179284023901</v>
      </c>
      <c r="E30" s="19">
        <v>9</v>
      </c>
      <c r="F30" s="17">
        <v>1</v>
      </c>
      <c r="G30" s="19">
        <v>-2.5011107921600342</v>
      </c>
      <c r="H30" s="17">
        <v>0.6602623462677002</v>
      </c>
      <c r="I30" s="17">
        <f t="shared" si="0"/>
        <v>-0.40017772674560548</v>
      </c>
      <c r="J30" s="17">
        <f t="shared" si="1"/>
        <v>-0.26422228478512805</v>
      </c>
      <c r="K30" s="19">
        <v>0</v>
      </c>
      <c r="L30" s="17">
        <v>8.647687549876E-3</v>
      </c>
      <c r="M30" s="19">
        <v>0</v>
      </c>
      <c r="N30" s="17">
        <v>6.0489512771519996E-3</v>
      </c>
      <c r="O30" s="19">
        <v>-2.768743084743619E-3</v>
      </c>
      <c r="P30" s="17">
        <v>0</v>
      </c>
      <c r="Q30" s="19">
        <v>0</v>
      </c>
      <c r="R30" s="17">
        <v>0</v>
      </c>
      <c r="S30" s="19">
        <v>0</v>
      </c>
    </row>
    <row r="31" spans="1:19" x14ac:dyDescent="0.25">
      <c r="A31" s="3">
        <v>30</v>
      </c>
      <c r="B31" s="23">
        <v>54.106133672501258</v>
      </c>
      <c r="C31" s="18">
        <v>44798.447129629632</v>
      </c>
      <c r="D31" s="23">
        <v>3.0027455925473761</v>
      </c>
      <c r="E31" s="19">
        <v>9</v>
      </c>
      <c r="F31" s="17">
        <v>1</v>
      </c>
      <c r="G31" s="19">
        <v>-2.5011107921600342</v>
      </c>
      <c r="H31" s="17">
        <v>0.66087764501571655</v>
      </c>
      <c r="I31" s="17">
        <f t="shared" si="0"/>
        <v>-0.40017772674560548</v>
      </c>
      <c r="J31" s="17">
        <f t="shared" si="1"/>
        <v>-0.26446851363937868</v>
      </c>
      <c r="K31" s="19">
        <v>0</v>
      </c>
      <c r="L31" s="17">
        <v>9.3363007280739992E-3</v>
      </c>
      <c r="M31" s="19">
        <v>0</v>
      </c>
      <c r="N31" s="17">
        <v>6.5038077776010004E-3</v>
      </c>
      <c r="O31" s="19">
        <v>2.4610757827758789E-4</v>
      </c>
      <c r="P31" s="17">
        <v>0</v>
      </c>
      <c r="Q31" s="19">
        <v>0</v>
      </c>
      <c r="R31" s="17">
        <v>0</v>
      </c>
      <c r="S31" s="19">
        <v>0</v>
      </c>
    </row>
    <row r="32" spans="1:19" x14ac:dyDescent="0.25">
      <c r="A32" s="3">
        <v>31</v>
      </c>
      <c r="B32" s="23">
        <v>55.111077131226487</v>
      </c>
      <c r="C32" s="18">
        <v>44798.447141203702</v>
      </c>
      <c r="D32" s="23">
        <v>1.002063703899954</v>
      </c>
      <c r="E32" s="19">
        <v>10</v>
      </c>
      <c r="F32" s="17">
        <v>1</v>
      </c>
      <c r="G32" s="19">
        <v>-2.8136510848999023</v>
      </c>
      <c r="H32" s="17">
        <v>0.64734154939651489</v>
      </c>
      <c r="I32" s="17">
        <f t="shared" si="0"/>
        <v>-0.45018417358398438</v>
      </c>
      <c r="J32" s="17">
        <f t="shared" si="1"/>
        <v>-0.29142292044164608</v>
      </c>
      <c r="K32" s="19">
        <v>0</v>
      </c>
      <c r="L32" s="17">
        <v>1.0121447828795E-2</v>
      </c>
      <c r="M32" s="19">
        <v>0</v>
      </c>
      <c r="N32" s="17">
        <v>7.0118394144439997E-3</v>
      </c>
      <c r="O32" s="19">
        <v>-3.0764340772293508E-4</v>
      </c>
      <c r="P32" s="17">
        <v>0</v>
      </c>
      <c r="Q32" s="19">
        <v>0</v>
      </c>
      <c r="R32" s="17">
        <v>0</v>
      </c>
      <c r="S32" s="19">
        <v>0</v>
      </c>
    </row>
    <row r="33" spans="1:19" x14ac:dyDescent="0.25">
      <c r="A33" s="3">
        <v>32</v>
      </c>
      <c r="B33" s="23">
        <v>56.114029608214501</v>
      </c>
      <c r="C33" s="18">
        <v>44798.447152777779</v>
      </c>
      <c r="D33" s="23">
        <v>2.00501609066596</v>
      </c>
      <c r="E33" s="19">
        <v>10</v>
      </c>
      <c r="F33" s="17">
        <v>1</v>
      </c>
      <c r="G33" s="19">
        <v>-2.8136510848999023</v>
      </c>
      <c r="H33" s="17">
        <v>0.64795684814453125</v>
      </c>
      <c r="I33" s="17">
        <f t="shared" si="0"/>
        <v>-0.45018417358398438</v>
      </c>
      <c r="J33" s="17">
        <f t="shared" si="1"/>
        <v>-0.29169991820002905</v>
      </c>
      <c r="K33" s="19">
        <v>0</v>
      </c>
      <c r="L33" s="17">
        <v>1.0905294440104E-2</v>
      </c>
      <c r="M33" s="19">
        <v>0</v>
      </c>
      <c r="N33" s="17">
        <v>7.5193466273509998E-3</v>
      </c>
      <c r="O33" s="19">
        <v>-1.8458366685081273E-4</v>
      </c>
      <c r="P33" s="17">
        <v>0</v>
      </c>
      <c r="Q33" s="19">
        <v>0</v>
      </c>
      <c r="R33" s="17">
        <v>0</v>
      </c>
      <c r="S33" s="19">
        <v>0</v>
      </c>
    </row>
    <row r="34" spans="1:19" x14ac:dyDescent="0.25">
      <c r="A34" s="3">
        <v>33</v>
      </c>
      <c r="B34" s="23">
        <v>57.123799579680004</v>
      </c>
      <c r="C34" s="18">
        <v>44798.447164351855</v>
      </c>
      <c r="D34" s="23">
        <v>3.0147860621314599</v>
      </c>
      <c r="E34" s="19">
        <v>10</v>
      </c>
      <c r="F34" s="17">
        <v>1</v>
      </c>
      <c r="G34" s="19">
        <v>-2.8136510848999023</v>
      </c>
      <c r="H34" s="17">
        <v>0.64826446771621704</v>
      </c>
      <c r="I34" s="17">
        <f t="shared" si="0"/>
        <v>-0.45018417358398438</v>
      </c>
      <c r="J34" s="17">
        <f t="shared" si="1"/>
        <v>-0.29183840366268671</v>
      </c>
      <c r="K34" s="19">
        <v>0</v>
      </c>
      <c r="L34" s="17">
        <v>1.1694483628183001E-2</v>
      </c>
      <c r="M34" s="19">
        <v>0</v>
      </c>
      <c r="N34" s="17">
        <v>8.0306979147250004E-3</v>
      </c>
      <c r="O34" s="19">
        <v>2.4610757827758789E-4</v>
      </c>
      <c r="P34" s="17">
        <v>0</v>
      </c>
      <c r="Q34" s="19">
        <v>0</v>
      </c>
      <c r="R34" s="17">
        <v>0</v>
      </c>
      <c r="S34" s="19">
        <v>0</v>
      </c>
    </row>
    <row r="35" spans="1:19" x14ac:dyDescent="0.25">
      <c r="A35" s="3">
        <v>34</v>
      </c>
      <c r="B35" s="23">
        <v>58.129765205093967</v>
      </c>
      <c r="C35" s="18">
        <v>44798.447175925925</v>
      </c>
      <c r="D35" s="23">
        <v>1.0027631947900371</v>
      </c>
      <c r="E35" s="19">
        <v>11</v>
      </c>
      <c r="F35" s="17">
        <v>1</v>
      </c>
      <c r="G35" s="19">
        <v>-3.1258213520050049</v>
      </c>
      <c r="H35" s="17">
        <v>0.63534367084503174</v>
      </c>
      <c r="I35" s="17">
        <f t="shared" si="0"/>
        <v>-0.50013141632080083</v>
      </c>
      <c r="J35" s="17">
        <f t="shared" si="1"/>
        <v>-0.31775532995018241</v>
      </c>
      <c r="K35" s="19">
        <v>0</v>
      </c>
      <c r="L35" s="17">
        <v>1.2564895822882E-2</v>
      </c>
      <c r="M35" s="19">
        <v>0</v>
      </c>
      <c r="N35" s="17">
        <v>8.5837227934159998E-3</v>
      </c>
      <c r="O35" s="19">
        <v>-2.5841593742370605E-3</v>
      </c>
      <c r="P35" s="17">
        <v>0</v>
      </c>
      <c r="Q35" s="19">
        <v>0</v>
      </c>
      <c r="R35" s="17">
        <v>0</v>
      </c>
      <c r="S35" s="19">
        <v>0</v>
      </c>
    </row>
    <row r="36" spans="1:19" x14ac:dyDescent="0.25">
      <c r="A36" s="3">
        <v>35</v>
      </c>
      <c r="B36" s="23">
        <v>59.133672140732017</v>
      </c>
      <c r="C36" s="18">
        <v>44798.447187500002</v>
      </c>
      <c r="D36" s="23">
        <v>2.006670115391088</v>
      </c>
      <c r="E36" s="19">
        <v>11</v>
      </c>
      <c r="F36" s="17">
        <v>1</v>
      </c>
      <c r="G36" s="19">
        <v>-3.1261911392211914</v>
      </c>
      <c r="H36" s="17">
        <v>0.6356513500213623</v>
      </c>
      <c r="I36" s="17">
        <f t="shared" si="0"/>
        <v>-0.50019058227539059</v>
      </c>
      <c r="J36" s="17">
        <f t="shared" si="1"/>
        <v>-0.31794681889132331</v>
      </c>
      <c r="K36" s="19">
        <v>0</v>
      </c>
      <c r="L36" s="17">
        <v>1.3436611427789E-2</v>
      </c>
      <c r="M36" s="19">
        <v>0</v>
      </c>
      <c r="N36" s="17">
        <v>9.1377185176509997E-3</v>
      </c>
      <c r="O36" s="19">
        <v>-2.5226236321032047E-3</v>
      </c>
      <c r="P36" s="17">
        <v>0</v>
      </c>
      <c r="Q36" s="19">
        <v>0</v>
      </c>
      <c r="R36" s="17">
        <v>0</v>
      </c>
      <c r="S36" s="19">
        <v>0</v>
      </c>
    </row>
    <row r="37" spans="1:19" x14ac:dyDescent="0.25">
      <c r="A37" s="3">
        <v>36</v>
      </c>
      <c r="B37" s="23">
        <v>60.142541332063544</v>
      </c>
      <c r="C37" s="18">
        <v>44798.447199074071</v>
      </c>
      <c r="D37" s="23">
        <v>3.0155393031423761</v>
      </c>
      <c r="E37" s="19">
        <v>11</v>
      </c>
      <c r="F37" s="17">
        <v>1</v>
      </c>
      <c r="G37" s="19">
        <v>-3.1258213520050049</v>
      </c>
      <c r="H37" s="17">
        <v>0.63626658916473389</v>
      </c>
      <c r="I37" s="17">
        <f t="shared" si="0"/>
        <v>-0.50013141632080083</v>
      </c>
      <c r="J37" s="17">
        <f t="shared" si="1"/>
        <v>-0.31821691039656347</v>
      </c>
      <c r="K37" s="19">
        <v>0</v>
      </c>
      <c r="L37" s="17">
        <v>1.4312648657694001E-2</v>
      </c>
      <c r="M37" s="19">
        <v>0</v>
      </c>
      <c r="N37" s="17">
        <v>9.6949051590110007E-3</v>
      </c>
      <c r="O37" s="19">
        <v>2.4610757827758789E-4</v>
      </c>
      <c r="P37" s="17">
        <v>0</v>
      </c>
      <c r="Q37" s="19">
        <v>0</v>
      </c>
      <c r="R37" s="17">
        <v>0</v>
      </c>
      <c r="S37" s="19">
        <v>0</v>
      </c>
    </row>
    <row r="38" spans="1:19" x14ac:dyDescent="0.25">
      <c r="A38" s="3">
        <v>37</v>
      </c>
      <c r="B38" s="23">
        <v>61.15144108216289</v>
      </c>
      <c r="C38" s="18">
        <v>44798.447210648141</v>
      </c>
      <c r="D38" s="23">
        <v>1.0056995155937289</v>
      </c>
      <c r="E38" s="19">
        <v>12</v>
      </c>
      <c r="F38" s="17">
        <v>1</v>
      </c>
      <c r="G38" s="19">
        <v>-3.4387311935424805</v>
      </c>
      <c r="H38" s="17">
        <v>0.62396109104156494</v>
      </c>
      <c r="I38" s="17">
        <f t="shared" si="0"/>
        <v>-0.55019699096679686</v>
      </c>
      <c r="J38" s="17">
        <f t="shared" si="1"/>
        <v>-0.34330151477142862</v>
      </c>
      <c r="K38" s="19">
        <v>0</v>
      </c>
      <c r="L38" s="17">
        <v>1.5276113845618E-2</v>
      </c>
      <c r="M38" s="19">
        <v>0</v>
      </c>
      <c r="N38" s="17">
        <v>1.0295766163835001E-2</v>
      </c>
      <c r="O38" s="19">
        <v>-2.4610757827758789E-4</v>
      </c>
      <c r="P38" s="17">
        <v>0</v>
      </c>
      <c r="Q38" s="19">
        <v>0</v>
      </c>
      <c r="R38" s="17">
        <v>0</v>
      </c>
      <c r="S38" s="19">
        <v>0</v>
      </c>
    </row>
    <row r="39" spans="1:19" x14ac:dyDescent="0.25">
      <c r="A39" s="3">
        <v>38</v>
      </c>
      <c r="B39" s="23">
        <v>62.157228722105465</v>
      </c>
      <c r="C39" s="18">
        <v>44798.447222222225</v>
      </c>
      <c r="D39" s="23">
        <v>2.0114871476597771</v>
      </c>
      <c r="E39" s="19">
        <v>12</v>
      </c>
      <c r="F39" s="17">
        <v>1</v>
      </c>
      <c r="G39" s="19">
        <v>-3.4394710063934326</v>
      </c>
      <c r="H39" s="17">
        <v>0.62426871061325073</v>
      </c>
      <c r="I39" s="17">
        <f t="shared" si="0"/>
        <v>-0.5503153610229492</v>
      </c>
      <c r="J39" s="17">
        <f t="shared" si="1"/>
        <v>-0.34354466085646207</v>
      </c>
      <c r="K39" s="19">
        <v>0</v>
      </c>
      <c r="L39" s="17">
        <v>1.6236894104510999E-2</v>
      </c>
      <c r="M39" s="19">
        <v>0</v>
      </c>
      <c r="N39" s="17">
        <v>1.0895497494004E-2</v>
      </c>
      <c r="O39" s="19">
        <v>-1.8458366685081273E-4</v>
      </c>
      <c r="P39" s="17">
        <v>0</v>
      </c>
      <c r="Q39" s="19">
        <v>0</v>
      </c>
      <c r="R39" s="17">
        <v>0</v>
      </c>
      <c r="S39" s="19">
        <v>0</v>
      </c>
    </row>
    <row r="40" spans="1:19" x14ac:dyDescent="0.25">
      <c r="A40" s="3">
        <v>39</v>
      </c>
      <c r="B40" s="23">
        <v>63.146498407151881</v>
      </c>
      <c r="C40" s="18">
        <v>44798.447233796294</v>
      </c>
      <c r="D40" s="23">
        <v>3.0007568366444568</v>
      </c>
      <c r="E40" s="19">
        <v>12</v>
      </c>
      <c r="F40" s="17">
        <v>1</v>
      </c>
      <c r="G40" s="19">
        <v>-3.4394710063934326</v>
      </c>
      <c r="H40" s="17">
        <v>0.62488400936126709</v>
      </c>
      <c r="I40" s="17">
        <f t="shared" si="0"/>
        <v>-0.5503153610229492</v>
      </c>
      <c r="J40" s="17">
        <f t="shared" si="1"/>
        <v>-0.34388326920911366</v>
      </c>
      <c r="K40" s="19">
        <v>0</v>
      </c>
      <c r="L40" s="17">
        <v>1.718190577713E-2</v>
      </c>
      <c r="M40" s="19">
        <v>0</v>
      </c>
      <c r="N40" s="17">
        <v>1.1485932290508E-2</v>
      </c>
      <c r="O40" s="19">
        <v>1.8458366685081273E-4</v>
      </c>
      <c r="P40" s="17">
        <v>0</v>
      </c>
      <c r="Q40" s="19">
        <v>0</v>
      </c>
      <c r="R40" s="17">
        <v>0</v>
      </c>
      <c r="S40" s="19">
        <v>0</v>
      </c>
    </row>
    <row r="41" spans="1:19" x14ac:dyDescent="0.25">
      <c r="A41" s="3">
        <v>40</v>
      </c>
      <c r="B41" s="23">
        <v>64.153382781916932</v>
      </c>
      <c r="C41" s="18">
        <v>44798.447245370371</v>
      </c>
      <c r="D41" s="23">
        <v>1.0037335930199669</v>
      </c>
      <c r="E41" s="19">
        <v>13</v>
      </c>
      <c r="F41" s="17">
        <v>1</v>
      </c>
      <c r="G41" s="19">
        <v>-3.7516412734985352</v>
      </c>
      <c r="H41" s="17">
        <v>0.61257845163345337</v>
      </c>
      <c r="I41" s="17">
        <f t="shared" si="0"/>
        <v>-0.60026260375976559</v>
      </c>
      <c r="J41" s="17">
        <f t="shared" si="1"/>
        <v>-0.36770793638462235</v>
      </c>
      <c r="K41" s="19">
        <v>0</v>
      </c>
      <c r="L41" s="17">
        <v>1.8224246520384998E-2</v>
      </c>
      <c r="M41" s="19">
        <v>0</v>
      </c>
      <c r="N41" s="17">
        <v>1.2124857367550999E-2</v>
      </c>
      <c r="O41" s="19">
        <v>-2.4611116386950016E-3</v>
      </c>
      <c r="P41" s="17">
        <v>0</v>
      </c>
      <c r="Q41" s="19">
        <v>0</v>
      </c>
      <c r="R41" s="17">
        <v>0</v>
      </c>
      <c r="S41" s="19">
        <v>0</v>
      </c>
    </row>
    <row r="42" spans="1:19" x14ac:dyDescent="0.25">
      <c r="A42" s="3">
        <v>41</v>
      </c>
      <c r="B42" s="23">
        <v>65.158183862790935</v>
      </c>
      <c r="C42" s="18">
        <v>44798.447256944448</v>
      </c>
      <c r="D42" s="23">
        <v>2.0085346738939749</v>
      </c>
      <c r="E42" s="19">
        <v>13</v>
      </c>
      <c r="F42" s="17">
        <v>1</v>
      </c>
      <c r="G42" s="19">
        <v>-3.7520110607147217</v>
      </c>
      <c r="H42" s="17">
        <v>0.61350136995315552</v>
      </c>
      <c r="I42" s="17">
        <f t="shared" si="0"/>
        <v>-0.60032176971435547</v>
      </c>
      <c r="J42" s="17">
        <f t="shared" si="1"/>
        <v>-0.36829822813245983</v>
      </c>
      <c r="K42" s="19">
        <v>0</v>
      </c>
      <c r="L42" s="17">
        <v>1.9271319985721999E-2</v>
      </c>
      <c r="M42" s="19">
        <v>0</v>
      </c>
      <c r="N42" s="17">
        <v>1.2766913289786999E-2</v>
      </c>
      <c r="O42" s="19">
        <v>-2.2765279281884432E-3</v>
      </c>
      <c r="P42" s="17">
        <v>0</v>
      </c>
      <c r="Q42" s="19">
        <v>0</v>
      </c>
      <c r="R42" s="17">
        <v>0</v>
      </c>
      <c r="S42" s="19">
        <v>0</v>
      </c>
    </row>
    <row r="43" spans="1:19" x14ac:dyDescent="0.25">
      <c r="A43" s="3">
        <v>42</v>
      </c>
      <c r="B43" s="23">
        <v>66.164171464424953</v>
      </c>
      <c r="C43" s="18">
        <v>44798.447268518517</v>
      </c>
      <c r="D43" s="23">
        <v>3.0145222794662581</v>
      </c>
      <c r="E43" s="19">
        <v>13</v>
      </c>
      <c r="F43" s="17">
        <v>1</v>
      </c>
      <c r="G43" s="19">
        <v>-3.7516412734985352</v>
      </c>
      <c r="H43" s="17">
        <v>0.61380904912948608</v>
      </c>
      <c r="I43" s="17">
        <f t="shared" si="0"/>
        <v>-0.60026260375976559</v>
      </c>
      <c r="J43" s="17">
        <f t="shared" si="1"/>
        <v>-0.3684466180417712</v>
      </c>
      <c r="K43" s="19">
        <v>0</v>
      </c>
      <c r="L43" s="17">
        <v>2.0319637950255001E-2</v>
      </c>
      <c r="M43" s="19">
        <v>0</v>
      </c>
      <c r="N43" s="17">
        <v>1.3410311288481001E-2</v>
      </c>
      <c r="O43" s="19">
        <v>2.4611951084807515E-4</v>
      </c>
      <c r="P43" s="17">
        <v>0</v>
      </c>
      <c r="Q43" s="19">
        <v>0</v>
      </c>
      <c r="R43" s="17">
        <v>0</v>
      </c>
      <c r="S43" s="19">
        <v>0</v>
      </c>
    </row>
    <row r="44" spans="1:19" x14ac:dyDescent="0.25">
      <c r="A44" s="3">
        <v>43</v>
      </c>
      <c r="B44" s="23">
        <v>67.171154617254601</v>
      </c>
      <c r="C44" s="18">
        <v>44798.447280092594</v>
      </c>
      <c r="D44" s="23">
        <v>1.004130735273584</v>
      </c>
      <c r="E44" s="19">
        <v>14</v>
      </c>
      <c r="F44" s="17">
        <v>1</v>
      </c>
      <c r="G44" s="19">
        <v>-4.0641818046569824</v>
      </c>
      <c r="H44" s="17">
        <v>0.60181111097335815</v>
      </c>
      <c r="I44" s="17">
        <f t="shared" si="0"/>
        <v>-0.65026908874511724</v>
      </c>
      <c r="J44" s="17">
        <f t="shared" si="1"/>
        <v>-0.39133916272933222</v>
      </c>
      <c r="K44" s="19">
        <v>0</v>
      </c>
      <c r="L44" s="17">
        <v>2.1456200555047999E-2</v>
      </c>
      <c r="M44" s="19">
        <v>0</v>
      </c>
      <c r="N44" s="17">
        <v>1.4094346339302E-2</v>
      </c>
      <c r="O44" s="19">
        <v>-4.3070316314697266E-4</v>
      </c>
      <c r="P44" s="17">
        <v>0</v>
      </c>
      <c r="Q44" s="19">
        <v>0</v>
      </c>
      <c r="R44" s="17">
        <v>0</v>
      </c>
      <c r="S44" s="19">
        <v>0</v>
      </c>
    </row>
    <row r="45" spans="1:19" x14ac:dyDescent="0.25">
      <c r="A45" s="3">
        <v>44</v>
      </c>
      <c r="B45" s="23">
        <v>68.175978118298246</v>
      </c>
      <c r="C45" s="18">
        <v>44798.447291666664</v>
      </c>
      <c r="D45" s="23">
        <v>2.0089542323789611</v>
      </c>
      <c r="E45" s="19">
        <v>14</v>
      </c>
      <c r="F45" s="17">
        <v>1</v>
      </c>
      <c r="G45" s="19">
        <v>-4.0645513534545898</v>
      </c>
      <c r="H45" s="17">
        <v>0.60242640972137451</v>
      </c>
      <c r="I45" s="17">
        <f t="shared" si="0"/>
        <v>-0.65032821655273443</v>
      </c>
      <c r="J45" s="17">
        <f t="shared" si="1"/>
        <v>-0.39177489263836834</v>
      </c>
      <c r="K45" s="19">
        <v>0</v>
      </c>
      <c r="L45" s="17">
        <v>2.2590573374742001E-2</v>
      </c>
      <c r="M45" s="19">
        <v>0</v>
      </c>
      <c r="N45" s="17">
        <v>1.477755806875E-2</v>
      </c>
      <c r="O45" s="19">
        <v>-3.0764340772293508E-4</v>
      </c>
      <c r="P45" s="17">
        <v>0</v>
      </c>
      <c r="Q45" s="19">
        <v>0</v>
      </c>
      <c r="R45" s="17">
        <v>0</v>
      </c>
      <c r="S45" s="19">
        <v>0</v>
      </c>
    </row>
    <row r="46" spans="1:19" x14ac:dyDescent="0.25">
      <c r="A46" s="3">
        <v>45</v>
      </c>
      <c r="B46" s="23">
        <v>69.180844260698649</v>
      </c>
      <c r="C46" s="18">
        <v>44798.44730324074</v>
      </c>
      <c r="D46" s="23">
        <v>3.0138203747793679</v>
      </c>
      <c r="E46" s="19">
        <v>14</v>
      </c>
      <c r="F46" s="17">
        <v>1</v>
      </c>
      <c r="G46" s="19">
        <v>-4.0641818046569824</v>
      </c>
      <c r="H46" s="17">
        <v>0.60304170846939087</v>
      </c>
      <c r="I46" s="17">
        <f t="shared" si="0"/>
        <v>-0.65026908874511724</v>
      </c>
      <c r="J46" s="17">
        <f t="shared" si="1"/>
        <v>-0.39213938224168943</v>
      </c>
      <c r="K46" s="19">
        <v>0</v>
      </c>
      <c r="L46" s="17">
        <v>2.3725010303948E-2</v>
      </c>
      <c r="M46" s="19">
        <v>0</v>
      </c>
      <c r="N46" s="17">
        <v>1.5461403056863001E-2</v>
      </c>
      <c r="O46" s="19">
        <v>2.4611951084807515E-4</v>
      </c>
      <c r="P46" s="17">
        <v>0</v>
      </c>
      <c r="Q46" s="19">
        <v>0</v>
      </c>
      <c r="R46" s="17">
        <v>0</v>
      </c>
      <c r="S46" s="19">
        <v>0</v>
      </c>
    </row>
    <row r="47" spans="1:19" x14ac:dyDescent="0.25">
      <c r="A47" s="3">
        <v>46</v>
      </c>
      <c r="B47" s="23">
        <v>70.189701666601024</v>
      </c>
      <c r="C47" s="18">
        <v>44798.447314814817</v>
      </c>
      <c r="D47" s="23">
        <v>1.0057117177626369</v>
      </c>
      <c r="E47" s="19">
        <v>15</v>
      </c>
      <c r="F47" s="17">
        <v>1</v>
      </c>
      <c r="G47" s="19">
        <v>-4.3767218589782715</v>
      </c>
      <c r="H47" s="17">
        <v>0.59073615074157715</v>
      </c>
      <c r="I47" s="17">
        <f t="shared" si="0"/>
        <v>-0.7002754974365234</v>
      </c>
      <c r="J47" s="17">
        <f t="shared" si="1"/>
        <v>-0.41367805181429501</v>
      </c>
      <c r="K47" s="19">
        <v>0</v>
      </c>
      <c r="L47" s="17">
        <v>2.4947543756057001E-2</v>
      </c>
      <c r="M47" s="19">
        <v>0</v>
      </c>
      <c r="N47" s="17">
        <v>1.6184645925249E-2</v>
      </c>
      <c r="O47" s="19">
        <v>-2.5226355064660311E-3</v>
      </c>
      <c r="P47" s="17">
        <v>0</v>
      </c>
      <c r="Q47" s="19">
        <v>0</v>
      </c>
      <c r="R47" s="17">
        <v>0</v>
      </c>
      <c r="S47" s="19">
        <v>0</v>
      </c>
    </row>
    <row r="48" spans="1:19" x14ac:dyDescent="0.25">
      <c r="A48" s="3">
        <v>47</v>
      </c>
      <c r="B48" s="23">
        <v>71.192630697323054</v>
      </c>
      <c r="C48" s="18">
        <v>44798.447326388887</v>
      </c>
      <c r="D48" s="23">
        <v>2.0086407484846638</v>
      </c>
      <c r="E48" s="19">
        <v>15</v>
      </c>
      <c r="F48" s="17">
        <v>1</v>
      </c>
      <c r="G48" s="19">
        <v>-4.3770918846130371</v>
      </c>
      <c r="H48" s="17">
        <v>0.59196668863296509</v>
      </c>
      <c r="I48" s="17">
        <f t="shared" si="0"/>
        <v>-0.70033470153808597</v>
      </c>
      <c r="J48" s="17">
        <f t="shared" si="1"/>
        <v>-0.41457481420425668</v>
      </c>
      <c r="K48" s="19">
        <v>0</v>
      </c>
      <c r="L48" s="17">
        <v>2.6166880971498999E-2</v>
      </c>
      <c r="M48" s="19">
        <v>0</v>
      </c>
      <c r="N48" s="17">
        <v>1.6905908130829001E-2</v>
      </c>
      <c r="O48" s="19">
        <v>-2.2765279281884432E-3</v>
      </c>
      <c r="P48" s="17">
        <v>0</v>
      </c>
      <c r="Q48" s="19">
        <v>0</v>
      </c>
      <c r="R48" s="17">
        <v>0</v>
      </c>
      <c r="S48" s="19">
        <v>0</v>
      </c>
    </row>
    <row r="49" spans="1:19" x14ac:dyDescent="0.25">
      <c r="A49" s="3">
        <v>48</v>
      </c>
      <c r="B49" s="23">
        <v>72.194678743765905</v>
      </c>
      <c r="C49" s="18">
        <v>44798.447337962964</v>
      </c>
      <c r="D49" s="23">
        <v>3.0106887949275181</v>
      </c>
      <c r="E49" s="19">
        <v>15</v>
      </c>
      <c r="F49" s="17">
        <v>1</v>
      </c>
      <c r="G49" s="19">
        <v>-4.3770918846130371</v>
      </c>
      <c r="H49" s="17">
        <v>0.59196668863296509</v>
      </c>
      <c r="I49" s="17">
        <f t="shared" si="0"/>
        <v>-0.70033470153808597</v>
      </c>
      <c r="J49" s="17">
        <f t="shared" si="1"/>
        <v>-0.41457481420425668</v>
      </c>
      <c r="K49" s="19">
        <v>0</v>
      </c>
      <c r="L49" s="17">
        <v>2.7385125448921001E-2</v>
      </c>
      <c r="M49" s="19">
        <v>0</v>
      </c>
      <c r="N49" s="17">
        <v>1.7627027376458E-2</v>
      </c>
      <c r="O49" s="19">
        <v>1.2304782285355031E-4</v>
      </c>
      <c r="P49" s="17">
        <v>0</v>
      </c>
      <c r="Q49" s="19">
        <v>0</v>
      </c>
      <c r="R49" s="17">
        <v>0</v>
      </c>
      <c r="S49" s="19">
        <v>0</v>
      </c>
    </row>
    <row r="50" spans="1:19" x14ac:dyDescent="0.25">
      <c r="A50" s="3">
        <v>49</v>
      </c>
      <c r="B50" s="23">
        <v>73.199622145923371</v>
      </c>
      <c r="C50" s="18">
        <v>44798.44734953704</v>
      </c>
      <c r="D50" s="23">
        <v>1.001919551682533</v>
      </c>
      <c r="E50" s="19">
        <v>16</v>
      </c>
      <c r="F50" s="17">
        <v>1</v>
      </c>
      <c r="G50" s="19">
        <v>-4.6888918876647949</v>
      </c>
      <c r="H50" s="17">
        <v>0.58058410882949829</v>
      </c>
      <c r="I50" s="17">
        <f t="shared" si="0"/>
        <v>-0.75022270202636721</v>
      </c>
      <c r="J50" s="17">
        <f t="shared" si="1"/>
        <v>-0.43556737887963665</v>
      </c>
      <c r="K50" s="19">
        <v>0</v>
      </c>
      <c r="L50" s="17">
        <v>2.8693805141381999E-2</v>
      </c>
      <c r="M50" s="19">
        <v>0</v>
      </c>
      <c r="N50" s="17">
        <v>1.8386394479547E-2</v>
      </c>
      <c r="O50" s="19">
        <v>-2.4610757827758789E-4</v>
      </c>
      <c r="P50" s="17">
        <v>0</v>
      </c>
      <c r="Q50" s="19">
        <v>0</v>
      </c>
      <c r="R50" s="17">
        <v>0</v>
      </c>
      <c r="S50" s="19">
        <v>0</v>
      </c>
    </row>
    <row r="51" spans="1:19" x14ac:dyDescent="0.25">
      <c r="A51" s="3">
        <v>50</v>
      </c>
      <c r="B51" s="23">
        <v>74.208358365048269</v>
      </c>
      <c r="C51" s="18">
        <v>44798.44736111111</v>
      </c>
      <c r="D51" s="23">
        <v>2.0106557632889501</v>
      </c>
      <c r="E51" s="19">
        <v>16</v>
      </c>
      <c r="F51" s="17">
        <v>1</v>
      </c>
      <c r="G51" s="19">
        <v>-4.6888918876647949</v>
      </c>
      <c r="H51" s="17">
        <v>0.58089172840118408</v>
      </c>
      <c r="I51" s="17">
        <f t="shared" si="0"/>
        <v>-0.75022270202636721</v>
      </c>
      <c r="J51" s="17">
        <f t="shared" si="1"/>
        <v>-0.43579816206590294</v>
      </c>
      <c r="K51" s="19">
        <v>0</v>
      </c>
      <c r="L51" s="17">
        <v>3.0007704067568999E-2</v>
      </c>
      <c r="M51" s="19">
        <v>0</v>
      </c>
      <c r="N51" s="17">
        <v>1.9149352242574001E-2</v>
      </c>
      <c r="O51" s="19">
        <v>-1.8458366685081273E-4</v>
      </c>
      <c r="P51" s="17">
        <v>0</v>
      </c>
      <c r="Q51" s="19">
        <v>0</v>
      </c>
      <c r="R51" s="17">
        <v>0</v>
      </c>
      <c r="S51" s="19">
        <v>0</v>
      </c>
    </row>
    <row r="52" spans="1:19" x14ac:dyDescent="0.25">
      <c r="A52" s="3">
        <v>51</v>
      </c>
      <c r="B52" s="23">
        <v>75.209497289401426</v>
      </c>
      <c r="C52" s="18">
        <v>44798.447372685187</v>
      </c>
      <c r="D52" s="23">
        <v>3.0117946837038279</v>
      </c>
      <c r="E52" s="19">
        <v>16</v>
      </c>
      <c r="F52" s="17">
        <v>1</v>
      </c>
      <c r="G52" s="19">
        <v>-4.6892619132995605</v>
      </c>
      <c r="H52" s="17">
        <v>0.58119940757751465</v>
      </c>
      <c r="I52" s="17">
        <f t="shared" si="0"/>
        <v>-0.75028190612792967</v>
      </c>
      <c r="J52" s="17">
        <f t="shared" si="1"/>
        <v>-0.43606339935768118</v>
      </c>
      <c r="K52" s="19">
        <v>0</v>
      </c>
      <c r="L52" s="17">
        <v>3.1311709634420003E-2</v>
      </c>
      <c r="M52" s="19">
        <v>0</v>
      </c>
      <c r="N52" s="17">
        <v>1.9907142760860998E-2</v>
      </c>
      <c r="O52" s="19">
        <v>1.8458366685081273E-4</v>
      </c>
      <c r="P52" s="17">
        <v>0</v>
      </c>
      <c r="Q52" s="19">
        <v>0</v>
      </c>
      <c r="R52" s="17">
        <v>0</v>
      </c>
      <c r="S52" s="19">
        <v>0</v>
      </c>
    </row>
    <row r="53" spans="1:19" x14ac:dyDescent="0.25">
      <c r="A53" s="3">
        <v>52</v>
      </c>
      <c r="B53" s="23">
        <v>76.219276005241468</v>
      </c>
      <c r="C53" s="18">
        <v>44798.447384259256</v>
      </c>
      <c r="D53" s="23">
        <v>1.006591401341157</v>
      </c>
      <c r="E53" s="19">
        <v>17</v>
      </c>
      <c r="F53" s="17">
        <v>1</v>
      </c>
      <c r="G53" s="19">
        <v>-5.0018019676208496</v>
      </c>
      <c r="H53" s="17">
        <v>0.56950914859771729</v>
      </c>
      <c r="I53" s="17">
        <f t="shared" si="0"/>
        <v>-0.80028831481933593</v>
      </c>
      <c r="J53" s="17">
        <f t="shared" si="1"/>
        <v>-0.45577151680546196</v>
      </c>
      <c r="K53" s="19">
        <v>0</v>
      </c>
      <c r="L53" s="17">
        <v>3.2710737132428003E-2</v>
      </c>
      <c r="M53" s="19">
        <v>0</v>
      </c>
      <c r="N53" s="17">
        <v>2.0704331441986999E-2</v>
      </c>
      <c r="O53" s="19">
        <v>-2.3995756637305021E-3</v>
      </c>
      <c r="P53" s="17">
        <v>0</v>
      </c>
      <c r="Q53" s="19">
        <v>0</v>
      </c>
      <c r="R53" s="17">
        <v>0</v>
      </c>
      <c r="S53" s="19">
        <v>0</v>
      </c>
    </row>
    <row r="54" spans="1:19" x14ac:dyDescent="0.25">
      <c r="A54" s="3">
        <v>53</v>
      </c>
      <c r="B54" s="23">
        <v>77.224143906613051</v>
      </c>
      <c r="C54" s="18">
        <v>44798.447395833333</v>
      </c>
      <c r="D54" s="23">
        <v>2.011459303070771</v>
      </c>
      <c r="E54" s="19">
        <v>17</v>
      </c>
      <c r="F54" s="17">
        <v>1</v>
      </c>
      <c r="G54" s="19">
        <v>-5.0014324188232422</v>
      </c>
      <c r="H54" s="17">
        <v>0.57012438774108887</v>
      </c>
      <c r="I54" s="17">
        <f t="shared" si="0"/>
        <v>-0.80022918701171875</v>
      </c>
      <c r="J54" s="17">
        <f t="shared" si="1"/>
        <v>-0.45623017529760546</v>
      </c>
      <c r="K54" s="19">
        <v>0</v>
      </c>
      <c r="L54" s="17">
        <v>3.4106852208262997E-2</v>
      </c>
      <c r="M54" s="19">
        <v>0</v>
      </c>
      <c r="N54" s="17">
        <v>2.1499652954812001E-2</v>
      </c>
      <c r="O54" s="19">
        <v>-2.2765279281884432E-3</v>
      </c>
      <c r="P54" s="17">
        <v>0</v>
      </c>
      <c r="Q54" s="19">
        <v>0</v>
      </c>
      <c r="R54" s="17">
        <v>0</v>
      </c>
      <c r="S54" s="19">
        <v>0</v>
      </c>
    </row>
    <row r="55" spans="1:19" x14ac:dyDescent="0.25">
      <c r="A55" s="3">
        <v>54</v>
      </c>
      <c r="B55" s="23">
        <v>78.21448260970746</v>
      </c>
      <c r="C55" s="18">
        <v>44798.44740740741</v>
      </c>
      <c r="D55" s="23">
        <v>3.001798002226908</v>
      </c>
      <c r="E55" s="19">
        <v>17</v>
      </c>
      <c r="F55" s="17">
        <v>1</v>
      </c>
      <c r="G55" s="19">
        <v>-5.0014324188232422</v>
      </c>
      <c r="H55" s="17">
        <v>0.57043206691741943</v>
      </c>
      <c r="I55" s="17">
        <f t="shared" si="0"/>
        <v>-0.80022918701171875</v>
      </c>
      <c r="J55" s="17">
        <f t="shared" si="1"/>
        <v>-0.45647638915474092</v>
      </c>
      <c r="K55" s="19">
        <v>0</v>
      </c>
      <c r="L55" s="17">
        <v>3.5482788650862997E-2</v>
      </c>
      <c r="M55" s="19">
        <v>0</v>
      </c>
      <c r="N55" s="17">
        <v>2.2284077626626E-2</v>
      </c>
      <c r="O55" s="19">
        <v>1.8458366685081273E-4</v>
      </c>
      <c r="P55" s="17">
        <v>0</v>
      </c>
      <c r="Q55" s="19">
        <v>0</v>
      </c>
      <c r="R55" s="17">
        <v>0</v>
      </c>
      <c r="S55" s="19">
        <v>0</v>
      </c>
    </row>
    <row r="56" spans="1:19" x14ac:dyDescent="0.25">
      <c r="A56" s="3">
        <v>55</v>
      </c>
      <c r="B56" s="23">
        <v>79.220289275037501</v>
      </c>
      <c r="C56" s="18">
        <v>44798.447418981479</v>
      </c>
      <c r="D56" s="23">
        <v>1.002596908106018</v>
      </c>
      <c r="E56" s="19">
        <v>18</v>
      </c>
      <c r="F56" s="17">
        <v>1</v>
      </c>
      <c r="G56" s="19">
        <v>-5.3143420219421387</v>
      </c>
      <c r="H56" s="17">
        <v>0.55843418836593628</v>
      </c>
      <c r="I56" s="17">
        <f t="shared" si="0"/>
        <v>-0.8502947235107422</v>
      </c>
      <c r="J56" s="17">
        <f t="shared" si="1"/>
        <v>-0.47483364379555953</v>
      </c>
      <c r="K56" s="19">
        <v>0</v>
      </c>
      <c r="L56" s="17">
        <v>3.6964420200247997E-2</v>
      </c>
      <c r="M56" s="19">
        <v>0</v>
      </c>
      <c r="N56" s="17">
        <v>2.3111789768156001E-2</v>
      </c>
      <c r="O56" s="19">
        <v>-2.3995756637305021E-3</v>
      </c>
      <c r="P56" s="17">
        <v>0</v>
      </c>
      <c r="Q56" s="19">
        <v>0</v>
      </c>
      <c r="R56" s="17">
        <v>0</v>
      </c>
      <c r="S56" s="19">
        <v>0</v>
      </c>
    </row>
    <row r="57" spans="1:19" x14ac:dyDescent="0.25">
      <c r="A57" s="3">
        <v>56</v>
      </c>
      <c r="B57" s="23">
        <v>80.223253353072394</v>
      </c>
      <c r="C57" s="18">
        <v>44798.447430555549</v>
      </c>
      <c r="D57" s="23">
        <v>2.005560986140897</v>
      </c>
      <c r="E57" s="19">
        <v>18</v>
      </c>
      <c r="F57" s="17">
        <v>1</v>
      </c>
      <c r="G57" s="19">
        <v>-5.3143420219421387</v>
      </c>
      <c r="H57" s="17">
        <v>0.55843418836593628</v>
      </c>
      <c r="I57" s="17">
        <f t="shared" si="0"/>
        <v>-0.8502947235107422</v>
      </c>
      <c r="J57" s="17">
        <f t="shared" si="1"/>
        <v>-0.47483364379555953</v>
      </c>
      <c r="K57" s="19">
        <v>0</v>
      </c>
      <c r="L57" s="17">
        <v>3.8444969672569003E-2</v>
      </c>
      <c r="M57" s="19">
        <v>0</v>
      </c>
      <c r="N57" s="17">
        <v>2.3938650660842001E-2</v>
      </c>
      <c r="O57" s="19">
        <v>-2.3995756637305021E-3</v>
      </c>
      <c r="P57" s="17">
        <v>0</v>
      </c>
      <c r="Q57" s="19">
        <v>0</v>
      </c>
      <c r="R57" s="17">
        <v>0</v>
      </c>
      <c r="S57" s="19">
        <v>0</v>
      </c>
    </row>
    <row r="58" spans="1:19" x14ac:dyDescent="0.25">
      <c r="A58" s="3">
        <v>57</v>
      </c>
      <c r="B58" s="23">
        <v>81.230137160369623</v>
      </c>
      <c r="C58" s="18">
        <v>44798.447442129633</v>
      </c>
      <c r="D58" s="23">
        <v>3.0124447934381391</v>
      </c>
      <c r="E58" s="19">
        <v>18</v>
      </c>
      <c r="F58" s="17">
        <v>1</v>
      </c>
      <c r="G58" s="19">
        <v>-5.3147120475769043</v>
      </c>
      <c r="H58" s="17">
        <v>0.55874180793762207</v>
      </c>
      <c r="I58" s="17">
        <f t="shared" si="0"/>
        <v>-0.85035392761230466</v>
      </c>
      <c r="J58" s="17">
        <f t="shared" si="1"/>
        <v>-0.47512829090095693</v>
      </c>
      <c r="K58" s="19">
        <v>0</v>
      </c>
      <c r="L58" s="17">
        <v>3.9931291707198002E-2</v>
      </c>
      <c r="M58" s="19">
        <v>0</v>
      </c>
      <c r="N58" s="17">
        <v>2.4769224187714999E-2</v>
      </c>
      <c r="O58" s="19">
        <v>6.1523911426775157E-5</v>
      </c>
      <c r="P58" s="17">
        <v>0</v>
      </c>
      <c r="Q58" s="19">
        <v>0</v>
      </c>
      <c r="R58" s="17">
        <v>0</v>
      </c>
      <c r="S58" s="19">
        <v>0</v>
      </c>
    </row>
    <row r="59" spans="1:19" x14ac:dyDescent="0.25">
      <c r="A59" s="3">
        <v>58</v>
      </c>
      <c r="B59" s="23">
        <v>82.247721700183675</v>
      </c>
      <c r="C59" s="18">
        <v>44798.447453703702</v>
      </c>
      <c r="D59" s="23">
        <v>1.014669004443076</v>
      </c>
      <c r="E59" s="19">
        <v>19</v>
      </c>
      <c r="F59" s="17">
        <v>1</v>
      </c>
      <c r="G59" s="19">
        <v>-5.6268825531005859</v>
      </c>
      <c r="H59" s="17">
        <v>0.54705154895782471</v>
      </c>
      <c r="I59" s="17">
        <f t="shared" si="0"/>
        <v>-0.90030120849609374</v>
      </c>
      <c r="J59" s="17">
        <f t="shared" si="1"/>
        <v>-0.49251117063638955</v>
      </c>
      <c r="K59" s="19">
        <v>0</v>
      </c>
      <c r="L59" s="17">
        <v>4.1517218005760997E-2</v>
      </c>
      <c r="M59" s="19">
        <v>0</v>
      </c>
      <c r="N59" s="17">
        <v>2.5636583134889999E-2</v>
      </c>
      <c r="O59" s="19">
        <v>-2.4610757827758789E-4</v>
      </c>
      <c r="P59" s="17">
        <v>0</v>
      </c>
      <c r="Q59" s="19">
        <v>0</v>
      </c>
      <c r="R59" s="17">
        <v>0</v>
      </c>
      <c r="S59" s="19">
        <v>0</v>
      </c>
    </row>
    <row r="60" spans="1:19" x14ac:dyDescent="0.25">
      <c r="A60" s="3">
        <v>59</v>
      </c>
      <c r="B60" s="23">
        <v>83.252663410678423</v>
      </c>
      <c r="C60" s="18">
        <v>44798.447465277779</v>
      </c>
      <c r="D60" s="23">
        <v>2.0196107149378291</v>
      </c>
      <c r="E60" s="19">
        <v>19</v>
      </c>
      <c r="F60" s="17">
        <v>1</v>
      </c>
      <c r="G60" s="19">
        <v>-5.6268825531005859</v>
      </c>
      <c r="H60" s="17">
        <v>0.54705154895782471</v>
      </c>
      <c r="I60" s="17">
        <f t="shared" si="0"/>
        <v>-0.90030120849609374</v>
      </c>
      <c r="J60" s="17">
        <f t="shared" si="1"/>
        <v>-0.49251117063638955</v>
      </c>
      <c r="K60" s="19">
        <v>0</v>
      </c>
      <c r="L60" s="17">
        <v>4.3087961713999999E-2</v>
      </c>
      <c r="M60" s="19">
        <v>0</v>
      </c>
      <c r="N60" s="17">
        <v>2.6495823160496999E-2</v>
      </c>
      <c r="O60" s="19">
        <v>-2.4610757827758789E-4</v>
      </c>
      <c r="P60" s="17">
        <v>0</v>
      </c>
      <c r="Q60" s="19">
        <v>0</v>
      </c>
      <c r="R60" s="17">
        <v>0</v>
      </c>
      <c r="S60" s="19">
        <v>0</v>
      </c>
    </row>
    <row r="61" spans="1:19" x14ac:dyDescent="0.25">
      <c r="A61" s="3">
        <v>60</v>
      </c>
      <c r="B61" s="23">
        <v>84.241931257630384</v>
      </c>
      <c r="C61" s="18">
        <v>44798.447476851848</v>
      </c>
      <c r="D61" s="23">
        <v>3.0088785618897931</v>
      </c>
      <c r="E61" s="19">
        <v>19</v>
      </c>
      <c r="F61" s="17">
        <v>1</v>
      </c>
      <c r="G61" s="19">
        <v>-5.6268825531005859</v>
      </c>
      <c r="H61" s="17">
        <v>0.5473591685295105</v>
      </c>
      <c r="I61" s="17">
        <f t="shared" si="0"/>
        <v>-0.90030120849609374</v>
      </c>
      <c r="J61" s="17">
        <f t="shared" si="1"/>
        <v>-0.49278812090853535</v>
      </c>
      <c r="K61" s="19">
        <v>0</v>
      </c>
      <c r="L61" s="17">
        <v>4.4634199000180001E-2</v>
      </c>
      <c r="M61" s="19">
        <v>0</v>
      </c>
      <c r="N61" s="17">
        <v>2.7342014108037001E-2</v>
      </c>
      <c r="O61" s="19">
        <v>6.1523911426775157E-5</v>
      </c>
      <c r="P61" s="17">
        <v>0</v>
      </c>
      <c r="Q61" s="19">
        <v>0</v>
      </c>
      <c r="R61" s="17">
        <v>0</v>
      </c>
      <c r="S61" s="19">
        <v>0</v>
      </c>
    </row>
    <row r="62" spans="1:19" x14ac:dyDescent="0.25">
      <c r="A62" s="3">
        <v>61</v>
      </c>
      <c r="B62" s="23">
        <v>85.24983434415401</v>
      </c>
      <c r="C62" s="18">
        <v>44798.447488425925</v>
      </c>
      <c r="D62" s="23">
        <v>1.005028331501445</v>
      </c>
      <c r="E62" s="19">
        <v>20</v>
      </c>
      <c r="F62" s="17">
        <v>1</v>
      </c>
      <c r="G62" s="19">
        <v>-5.939422607421875</v>
      </c>
      <c r="H62" s="17">
        <v>0.53505367040634155</v>
      </c>
      <c r="I62" s="17">
        <f t="shared" si="0"/>
        <v>-0.95030761718750001</v>
      </c>
      <c r="J62" s="17">
        <f t="shared" si="1"/>
        <v>-0.50846557859127639</v>
      </c>
      <c r="K62" s="19">
        <v>0</v>
      </c>
      <c r="L62" s="17">
        <v>4.6293086346836002E-2</v>
      </c>
      <c r="M62" s="19">
        <v>0</v>
      </c>
      <c r="N62" s="17">
        <v>2.8230517555521001E-2</v>
      </c>
      <c r="O62" s="19">
        <v>-2.3995756637305021E-3</v>
      </c>
      <c r="P62" s="17">
        <v>0</v>
      </c>
      <c r="Q62" s="19">
        <v>0</v>
      </c>
      <c r="R62" s="17">
        <v>0</v>
      </c>
      <c r="S62" s="19">
        <v>0</v>
      </c>
    </row>
    <row r="63" spans="1:19" x14ac:dyDescent="0.25">
      <c r="A63" s="3">
        <v>62</v>
      </c>
      <c r="B63" s="23">
        <v>86.255589635567517</v>
      </c>
      <c r="C63" s="18">
        <v>44798.447500000002</v>
      </c>
      <c r="D63" s="23">
        <v>2.010783626495197</v>
      </c>
      <c r="E63" s="19">
        <v>20</v>
      </c>
      <c r="F63" s="17">
        <v>1</v>
      </c>
      <c r="G63" s="19">
        <v>-5.9390525817871094</v>
      </c>
      <c r="H63" s="17">
        <v>0.53536128997802734</v>
      </c>
      <c r="I63" s="17">
        <f t="shared" si="0"/>
        <v>-0.95024841308593755</v>
      </c>
      <c r="J63" s="17">
        <f t="shared" si="1"/>
        <v>-0.50872621622926095</v>
      </c>
      <c r="K63" s="19">
        <v>0</v>
      </c>
      <c r="L63" s="17">
        <v>4.7952396247408997E-2</v>
      </c>
      <c r="M63" s="19">
        <v>0</v>
      </c>
      <c r="N63" s="17">
        <v>2.9118444964965001E-2</v>
      </c>
      <c r="O63" s="19">
        <v>-2.3380517959594727E-3</v>
      </c>
      <c r="P63" s="17">
        <v>0</v>
      </c>
      <c r="Q63" s="19">
        <v>0</v>
      </c>
      <c r="R63" s="17">
        <v>0</v>
      </c>
      <c r="S63" s="19">
        <v>0</v>
      </c>
    </row>
    <row r="64" spans="1:19" x14ac:dyDescent="0.25">
      <c r="A64" s="3">
        <v>63</v>
      </c>
      <c r="B64" s="23">
        <v>87.258672998199131</v>
      </c>
      <c r="C64" s="18">
        <v>44798.447511574072</v>
      </c>
      <c r="D64" s="23">
        <v>3.01386699700334</v>
      </c>
      <c r="E64" s="19">
        <v>20</v>
      </c>
      <c r="F64" s="17">
        <v>1</v>
      </c>
      <c r="G64" s="19">
        <v>-5.9397921562194824</v>
      </c>
      <c r="H64" s="17">
        <v>0.53536128997802734</v>
      </c>
      <c r="I64" s="17">
        <f t="shared" si="0"/>
        <v>-0.9503667449951172</v>
      </c>
      <c r="J64" s="17">
        <f t="shared" si="1"/>
        <v>-0.50878956655280494</v>
      </c>
      <c r="K64" s="19">
        <v>0</v>
      </c>
      <c r="L64" s="17">
        <v>4.9607306861562998E-2</v>
      </c>
      <c r="M64" s="19">
        <v>0</v>
      </c>
      <c r="N64" s="17">
        <v>3.0004180991494999E-2</v>
      </c>
      <c r="O64" s="19">
        <v>1.2304782285355031E-4</v>
      </c>
      <c r="P64" s="17">
        <v>0</v>
      </c>
      <c r="Q64" s="19">
        <v>0</v>
      </c>
      <c r="R64" s="17">
        <v>0</v>
      </c>
      <c r="S64" s="19">
        <v>0</v>
      </c>
    </row>
    <row r="65" spans="1:19" x14ac:dyDescent="0.25">
      <c r="A65" s="3">
        <v>64</v>
      </c>
      <c r="B65" s="23">
        <v>88.263578537544177</v>
      </c>
      <c r="C65" s="18">
        <v>44798.447523148141</v>
      </c>
      <c r="D65" s="23">
        <v>1.001708052314445</v>
      </c>
      <c r="E65" s="19">
        <v>21</v>
      </c>
      <c r="F65" s="17">
        <v>1</v>
      </c>
      <c r="G65" s="19">
        <v>-6.2515926361083984</v>
      </c>
      <c r="H65" s="17">
        <v>0.5230557918548584</v>
      </c>
      <c r="I65" s="17">
        <f t="shared" si="0"/>
        <v>-1.0002548217773437</v>
      </c>
      <c r="J65" s="17">
        <f t="shared" si="1"/>
        <v>-0.5231890778613888</v>
      </c>
      <c r="K65" s="19">
        <v>0</v>
      </c>
      <c r="L65" s="17">
        <v>5.1349346938738001E-2</v>
      </c>
      <c r="M65" s="19">
        <v>0</v>
      </c>
      <c r="N65" s="17">
        <v>3.0915887278088E-2</v>
      </c>
      <c r="O65" s="19">
        <v>-2.3995756637305021E-3</v>
      </c>
      <c r="P65" s="17">
        <v>0</v>
      </c>
      <c r="Q65" s="19">
        <v>0</v>
      </c>
      <c r="R65" s="17">
        <v>0</v>
      </c>
      <c r="S65" s="19">
        <v>0</v>
      </c>
    </row>
    <row r="66" spans="1:19" x14ac:dyDescent="0.25">
      <c r="A66" s="3">
        <v>65</v>
      </c>
      <c r="B66" s="23">
        <v>89.269468331000212</v>
      </c>
      <c r="C66" s="18">
        <v>44798.447534722225</v>
      </c>
      <c r="D66" s="23">
        <v>2.0075978461285091</v>
      </c>
      <c r="E66" s="19">
        <v>21</v>
      </c>
      <c r="F66" s="17">
        <v>1</v>
      </c>
      <c r="G66" s="19">
        <v>-6.2515926361083984</v>
      </c>
      <c r="H66" s="17">
        <v>0.52274817228317261</v>
      </c>
      <c r="I66" s="17">
        <f t="shared" si="0"/>
        <v>-1.0002548217773437</v>
      </c>
      <c r="J66" s="17">
        <f t="shared" si="1"/>
        <v>-0.52288137990153694</v>
      </c>
      <c r="K66" s="19">
        <v>0</v>
      </c>
      <c r="L66" s="17">
        <v>5.3096201074785999E-2</v>
      </c>
      <c r="M66" s="19">
        <v>0</v>
      </c>
      <c r="N66" s="17">
        <v>3.1829106662607E-2</v>
      </c>
      <c r="O66" s="19">
        <v>-2.4610995315015316E-3</v>
      </c>
      <c r="P66" s="17">
        <v>0</v>
      </c>
      <c r="Q66" s="19">
        <v>0</v>
      </c>
      <c r="R66" s="17">
        <v>0</v>
      </c>
      <c r="S66" s="19">
        <v>0</v>
      </c>
    </row>
    <row r="67" spans="1:19" x14ac:dyDescent="0.25">
      <c r="A67" s="3">
        <v>66</v>
      </c>
      <c r="B67" s="23">
        <v>90.265602546623654</v>
      </c>
      <c r="C67" s="18">
        <v>44798.447546296295</v>
      </c>
      <c r="D67" s="23">
        <v>3.0037320578136919</v>
      </c>
      <c r="E67" s="19">
        <v>21</v>
      </c>
      <c r="F67" s="17">
        <v>1</v>
      </c>
      <c r="G67" s="19">
        <v>-6.2523326873779297</v>
      </c>
      <c r="H67" s="17">
        <v>0.52244049310684204</v>
      </c>
      <c r="I67" s="17">
        <f t="shared" si="0"/>
        <v>-1.0003732299804688</v>
      </c>
      <c r="J67" s="17">
        <f t="shared" si="1"/>
        <v>-0.52263548356188039</v>
      </c>
      <c r="K67" s="19">
        <v>0</v>
      </c>
      <c r="L67" s="17">
        <v>5.4826103052238E-2</v>
      </c>
      <c r="M67" s="19">
        <v>0</v>
      </c>
      <c r="N67" s="17">
        <v>3.2733617447556998E-2</v>
      </c>
      <c r="O67" s="19">
        <v>-1.2305975542403758E-4</v>
      </c>
      <c r="P67" s="17">
        <v>0</v>
      </c>
      <c r="Q67" s="19">
        <v>0</v>
      </c>
      <c r="R67" s="17">
        <v>0</v>
      </c>
      <c r="S67" s="19">
        <v>0</v>
      </c>
    </row>
    <row r="68" spans="1:19" x14ac:dyDescent="0.25">
      <c r="A68" s="3">
        <v>67</v>
      </c>
      <c r="B68" s="23">
        <v>91.272468624937801</v>
      </c>
      <c r="C68" s="18">
        <v>44798.447557870371</v>
      </c>
      <c r="D68" s="23">
        <v>1.003962997160871</v>
      </c>
      <c r="E68" s="19">
        <v>22</v>
      </c>
      <c r="F68" s="17">
        <v>1</v>
      </c>
      <c r="G68" s="19">
        <v>-7.5017533302307129</v>
      </c>
      <c r="H68" s="17">
        <v>0.47075733542442322</v>
      </c>
      <c r="I68" s="17">
        <f t="shared" si="0"/>
        <v>-1.2002805328369142</v>
      </c>
      <c r="J68" s="17">
        <f t="shared" si="1"/>
        <v>-0.56504086540011267</v>
      </c>
      <c r="K68" s="19">
        <v>0</v>
      </c>
      <c r="L68" s="17">
        <v>5.6906875043303003E-2</v>
      </c>
      <c r="M68" s="19">
        <v>0</v>
      </c>
      <c r="N68" s="17">
        <v>3.3717987308590998E-2</v>
      </c>
      <c r="O68" s="19">
        <v>-1.0398167185485363E-2</v>
      </c>
      <c r="P68" s="17">
        <v>0</v>
      </c>
      <c r="Q68" s="19">
        <v>0</v>
      </c>
      <c r="R68" s="17">
        <v>0</v>
      </c>
      <c r="S68" s="19">
        <v>0</v>
      </c>
    </row>
    <row r="69" spans="1:19" x14ac:dyDescent="0.25">
      <c r="A69" s="3">
        <v>68</v>
      </c>
      <c r="B69" s="23">
        <v>92.276499442914897</v>
      </c>
      <c r="C69" s="18">
        <v>44798.447569444441</v>
      </c>
      <c r="D69" s="23">
        <v>2.0079938942612361</v>
      </c>
      <c r="E69" s="19">
        <v>22</v>
      </c>
      <c r="F69" s="17">
        <v>1</v>
      </c>
      <c r="G69" s="19">
        <v>-7.5021233558654785</v>
      </c>
      <c r="H69" s="17">
        <v>0.47014206647872925</v>
      </c>
      <c r="I69" s="17">
        <f t="shared" si="0"/>
        <v>-1.2003397369384765</v>
      </c>
      <c r="J69" s="17">
        <f t="shared" si="1"/>
        <v>-0.56433020440078963</v>
      </c>
      <c r="K69" s="19">
        <v>0</v>
      </c>
      <c r="L69" s="17">
        <v>5.8999197549245999E-2</v>
      </c>
      <c r="M69" s="19">
        <v>0</v>
      </c>
      <c r="N69" s="17">
        <v>3.4702490450385003E-2</v>
      </c>
      <c r="O69" s="19">
        <v>-1.0521220974624157E-2</v>
      </c>
      <c r="P69" s="17">
        <v>0</v>
      </c>
      <c r="Q69" s="19">
        <v>0</v>
      </c>
      <c r="R69" s="17">
        <v>0</v>
      </c>
      <c r="S69" s="19">
        <v>0</v>
      </c>
    </row>
    <row r="70" spans="1:19" x14ac:dyDescent="0.25">
      <c r="A70" s="3">
        <v>69</v>
      </c>
      <c r="B70" s="23">
        <v>93.28331500477961</v>
      </c>
      <c r="C70" s="18">
        <v>44798.447581018518</v>
      </c>
      <c r="D70" s="23">
        <v>3.0148094632864439</v>
      </c>
      <c r="E70" s="19">
        <v>22</v>
      </c>
      <c r="F70" s="17">
        <v>1</v>
      </c>
      <c r="G70" s="19">
        <v>-7.5024929046630859</v>
      </c>
      <c r="H70" s="17">
        <v>0.47014206647872925</v>
      </c>
      <c r="I70" s="17">
        <f t="shared" si="0"/>
        <v>-1.2003988647460937</v>
      </c>
      <c r="J70" s="17">
        <f t="shared" si="1"/>
        <v>-0.56435800287044913</v>
      </c>
      <c r="K70" s="19">
        <v>0</v>
      </c>
      <c r="L70" s="17">
        <v>6.1097305140602E-2</v>
      </c>
      <c r="M70" s="19">
        <v>0</v>
      </c>
      <c r="N70" s="17">
        <v>3.5689423300868002E-2</v>
      </c>
      <c r="O70" s="19">
        <v>-6.1529877712018788E-5</v>
      </c>
      <c r="P70" s="17">
        <v>0</v>
      </c>
      <c r="Q70" s="19">
        <v>0</v>
      </c>
      <c r="R70" s="17">
        <v>0</v>
      </c>
      <c r="S70" s="19">
        <v>0</v>
      </c>
    </row>
    <row r="71" spans="1:19" x14ac:dyDescent="0.25">
      <c r="A71" s="3">
        <v>70</v>
      </c>
      <c r="B71" s="23">
        <v>94.288197243932387</v>
      </c>
      <c r="C71" s="18">
        <v>44798.447592592594</v>
      </c>
      <c r="D71" s="23">
        <v>1.001800691702081</v>
      </c>
      <c r="E71" s="19">
        <v>23</v>
      </c>
      <c r="F71" s="17">
        <v>1</v>
      </c>
      <c r="G71" s="19">
        <v>-8.7519130706787109</v>
      </c>
      <c r="H71" s="17">
        <v>0.41261374950408936</v>
      </c>
      <c r="I71" s="17">
        <f t="shared" si="0"/>
        <v>-1.4003060913085938</v>
      </c>
      <c r="J71" s="17">
        <f t="shared" si="1"/>
        <v>-0.57778554678825467</v>
      </c>
      <c r="K71" s="19">
        <v>0</v>
      </c>
      <c r="L71" s="17">
        <v>6.3539174155903003E-2</v>
      </c>
      <c r="M71" s="19">
        <v>0</v>
      </c>
      <c r="N71" s="17">
        <v>3.6701373665793999E-2</v>
      </c>
      <c r="O71" s="19">
        <v>-3.38401785120368E-3</v>
      </c>
      <c r="P71" s="17">
        <v>0</v>
      </c>
      <c r="Q71" s="19">
        <v>0</v>
      </c>
      <c r="R71" s="17">
        <v>0</v>
      </c>
      <c r="S71" s="19">
        <v>0</v>
      </c>
    </row>
    <row r="72" spans="1:19" x14ac:dyDescent="0.25">
      <c r="A72" s="3">
        <v>71</v>
      </c>
      <c r="B72" s="23">
        <v>95.29328046049028</v>
      </c>
      <c r="C72" s="18">
        <v>44798.447604166664</v>
      </c>
      <c r="D72" s="23">
        <v>2.006884103382967</v>
      </c>
      <c r="E72" s="19">
        <v>23</v>
      </c>
      <c r="F72" s="17">
        <v>1</v>
      </c>
      <c r="G72" s="19">
        <v>-8.7522830963134766</v>
      </c>
      <c r="H72" s="17">
        <v>0.41169083118438721</v>
      </c>
      <c r="I72" s="17">
        <f t="shared" si="0"/>
        <v>-1.4003652954101562</v>
      </c>
      <c r="J72" s="17">
        <f t="shared" si="1"/>
        <v>-0.57651755242917713</v>
      </c>
      <c r="K72" s="19">
        <v>0</v>
      </c>
      <c r="L72" s="17">
        <v>6.5982621627839994E-2</v>
      </c>
      <c r="M72" s="19">
        <v>0</v>
      </c>
      <c r="N72" s="17">
        <v>3.7708156705368999E-2</v>
      </c>
      <c r="O72" s="19">
        <v>-3.5686015617102385E-3</v>
      </c>
      <c r="P72" s="17">
        <v>0</v>
      </c>
      <c r="Q72" s="19">
        <v>0</v>
      </c>
      <c r="R72" s="17">
        <v>0</v>
      </c>
      <c r="S72" s="19">
        <v>0</v>
      </c>
    </row>
    <row r="73" spans="1:19" x14ac:dyDescent="0.25">
      <c r="A73" s="3">
        <v>72</v>
      </c>
      <c r="B73" s="23">
        <v>96.298028381624789</v>
      </c>
      <c r="C73" s="18">
        <v>44798.447615740741</v>
      </c>
      <c r="D73" s="23">
        <v>3.0116317051601982</v>
      </c>
      <c r="E73" s="19">
        <v>23</v>
      </c>
      <c r="F73" s="17">
        <v>1</v>
      </c>
      <c r="G73" s="19">
        <v>-8.7515430450439453</v>
      </c>
      <c r="H73" s="17">
        <v>0.41107556223869324</v>
      </c>
      <c r="I73" s="17">
        <f t="shared" ref="I73:I80" si="2">G73/6.25</f>
        <v>-1.4002468872070313</v>
      </c>
      <c r="J73" s="17">
        <f t="shared" ref="J73:J80" si="3">H73*I73</f>
        <v>-0.57560727643161047</v>
      </c>
      <c r="K73" s="19">
        <v>0</v>
      </c>
      <c r="L73" s="17">
        <v>6.8425260104279004E-2</v>
      </c>
      <c r="M73" s="19">
        <v>0</v>
      </c>
      <c r="N73" s="17">
        <v>3.8713041884436E-2</v>
      </c>
      <c r="O73" s="19">
        <v>-3.6916733370162547E-4</v>
      </c>
      <c r="P73" s="17">
        <v>0</v>
      </c>
      <c r="Q73" s="19">
        <v>0</v>
      </c>
      <c r="R73" s="17">
        <v>0</v>
      </c>
      <c r="S73" s="19">
        <v>0</v>
      </c>
    </row>
    <row r="74" spans="1:19" x14ac:dyDescent="0.25">
      <c r="A74" s="3">
        <v>73</v>
      </c>
      <c r="B74" s="23">
        <v>97.303911998811373</v>
      </c>
      <c r="C74" s="18">
        <v>44798.447627314818</v>
      </c>
      <c r="D74" s="23">
        <v>1.0026781984955839</v>
      </c>
      <c r="E74" s="19">
        <v>24</v>
      </c>
      <c r="F74" s="17">
        <v>1</v>
      </c>
      <c r="G74" s="19">
        <v>-10.002813339233398</v>
      </c>
      <c r="H74" s="17">
        <v>0.34431809186935425</v>
      </c>
      <c r="I74" s="17">
        <f t="shared" si="2"/>
        <v>-1.6004501342773438</v>
      </c>
      <c r="J74" s="17">
        <f t="shared" si="3"/>
        <v>-0.55106393636642681</v>
      </c>
      <c r="K74" s="19">
        <v>0</v>
      </c>
      <c r="L74" s="17">
        <v>7.1207558137239002E-2</v>
      </c>
      <c r="M74" s="19">
        <v>0</v>
      </c>
      <c r="N74" s="17">
        <v>3.9684777021424998E-2</v>
      </c>
      <c r="O74" s="19">
        <v>-1.3413017615675926E-2</v>
      </c>
      <c r="P74" s="17">
        <v>0</v>
      </c>
      <c r="Q74" s="19">
        <v>0</v>
      </c>
      <c r="R74" s="17">
        <v>0</v>
      </c>
      <c r="S74" s="19">
        <v>0</v>
      </c>
    </row>
    <row r="75" spans="1:19" x14ac:dyDescent="0.25">
      <c r="A75" s="3">
        <v>74</v>
      </c>
      <c r="B75" s="23">
        <v>98.306902696277632</v>
      </c>
      <c r="C75" s="18">
        <v>44798.447638888887</v>
      </c>
      <c r="D75" s="23">
        <v>2.005668948233331</v>
      </c>
      <c r="E75" s="19">
        <v>24</v>
      </c>
      <c r="F75" s="17">
        <v>1</v>
      </c>
      <c r="G75" s="19">
        <v>-10.002444267272949</v>
      </c>
      <c r="H75" s="17">
        <v>0.34277990460395813</v>
      </c>
      <c r="I75" s="17">
        <f t="shared" si="2"/>
        <v>-1.6003910827636718</v>
      </c>
      <c r="J75" s="17">
        <f t="shared" si="3"/>
        <v>-0.54858190267875673</v>
      </c>
      <c r="K75" s="19">
        <v>0</v>
      </c>
      <c r="L75" s="17">
        <v>7.3994260946039003E-2</v>
      </c>
      <c r="M75" s="19">
        <v>0</v>
      </c>
      <c r="N75" s="17">
        <v>4.0642217786371997E-2</v>
      </c>
      <c r="O75" s="19">
        <v>-1.372065581381321E-2</v>
      </c>
      <c r="P75" s="17">
        <v>0</v>
      </c>
      <c r="Q75" s="19">
        <v>0</v>
      </c>
      <c r="R75" s="17">
        <v>0</v>
      </c>
      <c r="S75" s="19">
        <v>0</v>
      </c>
    </row>
    <row r="76" spans="1:19" x14ac:dyDescent="0.25">
      <c r="A76" s="3">
        <v>75</v>
      </c>
      <c r="B76" s="23">
        <v>99.302053157233345</v>
      </c>
      <c r="C76" s="18">
        <v>44798.447650462957</v>
      </c>
      <c r="D76" s="23">
        <v>3.0008193565595338</v>
      </c>
      <c r="E76" s="19">
        <v>24</v>
      </c>
      <c r="F76" s="17">
        <v>1</v>
      </c>
      <c r="G76" s="19">
        <v>-10.002074241638184</v>
      </c>
      <c r="H76" s="17">
        <v>0.34216463565826416</v>
      </c>
      <c r="I76" s="17">
        <f t="shared" si="2"/>
        <v>-1.6003318786621095</v>
      </c>
      <c r="J76" s="17">
        <f t="shared" si="3"/>
        <v>-0.54757697419472606</v>
      </c>
      <c r="K76" s="19">
        <v>0</v>
      </c>
      <c r="L76" s="17">
        <v>7.6759174060144E-2</v>
      </c>
      <c r="M76" s="19">
        <v>0</v>
      </c>
      <c r="N76" s="17">
        <v>4.1589123709074E-2</v>
      </c>
      <c r="O76" s="19">
        <v>-4.306912305764854E-4</v>
      </c>
      <c r="P76" s="17">
        <v>0</v>
      </c>
      <c r="Q76" s="19">
        <v>0</v>
      </c>
      <c r="R76" s="17">
        <v>0</v>
      </c>
      <c r="S76" s="19">
        <v>0</v>
      </c>
    </row>
    <row r="77" spans="1:19" x14ac:dyDescent="0.25">
      <c r="A77" s="3">
        <v>76</v>
      </c>
      <c r="B77" s="23">
        <v>100.31865860026994</v>
      </c>
      <c r="C77" s="18">
        <v>44798.447662037041</v>
      </c>
      <c r="D77" s="23">
        <v>1.0134073208717169</v>
      </c>
      <c r="E77" s="19">
        <v>25</v>
      </c>
      <c r="F77" s="17">
        <v>1</v>
      </c>
      <c r="G77" s="19">
        <v>-11.256514549255371</v>
      </c>
      <c r="H77" s="17">
        <v>0.26094818115234375</v>
      </c>
      <c r="I77" s="17">
        <f t="shared" si="2"/>
        <v>-1.8010423278808594</v>
      </c>
      <c r="J77" s="17">
        <f t="shared" si="3"/>
        <v>-0.46997871963889337</v>
      </c>
      <c r="K77" s="19">
        <v>0</v>
      </c>
      <c r="L77" s="17">
        <v>7.9810823564395006E-2</v>
      </c>
      <c r="M77" s="19">
        <v>0</v>
      </c>
      <c r="N77" s="17">
        <v>4.2459216852449001E-2</v>
      </c>
      <c r="O77" s="19">
        <v>-1.6366343945264816E-2</v>
      </c>
      <c r="P77" s="17">
        <v>0</v>
      </c>
      <c r="Q77" s="19">
        <v>0</v>
      </c>
      <c r="R77" s="17">
        <v>0</v>
      </c>
      <c r="S77" s="19">
        <v>0</v>
      </c>
    </row>
    <row r="78" spans="1:19" x14ac:dyDescent="0.25">
      <c r="A78" s="3">
        <v>77</v>
      </c>
      <c r="B78" s="23">
        <v>101.32548318397772</v>
      </c>
      <c r="C78" s="18">
        <v>44798.44767361111</v>
      </c>
      <c r="D78" s="23">
        <v>2.0202319120979841</v>
      </c>
      <c r="E78" s="19">
        <v>25</v>
      </c>
      <c r="F78" s="17">
        <v>1</v>
      </c>
      <c r="G78" s="19">
        <v>-11.258390426635742</v>
      </c>
      <c r="H78" s="17">
        <v>0.25694888830184937</v>
      </c>
      <c r="I78" s="17">
        <f t="shared" si="2"/>
        <v>-1.8013424682617187</v>
      </c>
      <c r="J78" s="17">
        <f t="shared" si="3"/>
        <v>-0.46285294467075799</v>
      </c>
      <c r="K78" s="19">
        <v>0</v>
      </c>
      <c r="L78" s="17">
        <v>8.2959008857746E-2</v>
      </c>
      <c r="M78" s="19">
        <v>0</v>
      </c>
      <c r="N78" s="17">
        <v>4.3273928336632003E-2</v>
      </c>
      <c r="O78" s="19">
        <v>-1.7166202887892723E-2</v>
      </c>
      <c r="P78" s="17">
        <v>0</v>
      </c>
      <c r="Q78" s="19">
        <v>0</v>
      </c>
      <c r="R78" s="17">
        <v>0</v>
      </c>
      <c r="S78" s="19">
        <v>0</v>
      </c>
    </row>
    <row r="79" spans="1:19" x14ac:dyDescent="0.25">
      <c r="A79" s="3">
        <v>78</v>
      </c>
      <c r="B79" s="23">
        <v>102.31974404481028</v>
      </c>
      <c r="C79" s="18">
        <v>44798.447685185187</v>
      </c>
      <c r="D79" s="23">
        <v>3.01449276899227</v>
      </c>
      <c r="E79" s="19">
        <v>25</v>
      </c>
      <c r="F79" s="17">
        <v>1</v>
      </c>
      <c r="G79" s="19">
        <v>-11.254638671875</v>
      </c>
      <c r="H79" s="17">
        <v>0.25387248396873474</v>
      </c>
      <c r="I79" s="17">
        <f t="shared" si="2"/>
        <v>-1.8007421875</v>
      </c>
      <c r="J79" s="17">
        <f t="shared" si="3"/>
        <v>-0.4571588921279181</v>
      </c>
      <c r="K79" s="19">
        <v>0</v>
      </c>
      <c r="L79" s="17">
        <v>8.6067947571173004E-2</v>
      </c>
      <c r="M79" s="19">
        <v>0</v>
      </c>
      <c r="N79" s="17">
        <v>4.4066781422068997E-2</v>
      </c>
      <c r="O79" s="19">
        <v>-1.4151394134387374E-3</v>
      </c>
      <c r="P79" s="17">
        <v>0</v>
      </c>
      <c r="Q79" s="19">
        <v>0</v>
      </c>
      <c r="R79" s="17">
        <v>0</v>
      </c>
      <c r="S79" s="19">
        <v>0</v>
      </c>
    </row>
    <row r="80" spans="1:19" x14ac:dyDescent="0.25">
      <c r="A80" s="3">
        <v>79</v>
      </c>
      <c r="B80" s="23">
        <v>103.32951664417082</v>
      </c>
      <c r="C80" s="18">
        <v>44798.447696759256</v>
      </c>
      <c r="D80" s="23">
        <v>1.0065679586554059</v>
      </c>
      <c r="E80" s="19">
        <v>26</v>
      </c>
      <c r="F80" s="17">
        <v>1</v>
      </c>
      <c r="G80" s="19">
        <v>-12.509724617004395</v>
      </c>
      <c r="H80" s="17">
        <v>0.1511213630437851</v>
      </c>
      <c r="I80" s="17">
        <f t="shared" si="2"/>
        <v>-2.0015559387207031</v>
      </c>
      <c r="J80" s="17">
        <f t="shared" si="3"/>
        <v>-0.30247786166785545</v>
      </c>
      <c r="K80" s="19">
        <v>0</v>
      </c>
      <c r="L80" s="17">
        <v>8.9560580715589005E-2</v>
      </c>
      <c r="M80" s="19">
        <v>0</v>
      </c>
      <c r="N80" s="17">
        <v>4.4641481930647001E-2</v>
      </c>
      <c r="O80" s="19">
        <v>-2.0488699898123741E-2</v>
      </c>
      <c r="P80" s="17">
        <v>0</v>
      </c>
      <c r="Q80" s="19">
        <v>0</v>
      </c>
      <c r="R80" s="17">
        <v>0</v>
      </c>
      <c r="S80" s="19">
        <v>0</v>
      </c>
    </row>
  </sheetData>
  <phoneticPr fontId="1" type="noConversion"/>
  <printOptions headings="1"/>
  <pageMargins left="0.7" right="0.7" top="0.75" bottom="0.75" header="0.3" footer="0.3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Info</vt:lpstr>
      <vt:lpstr>Channel_1-001</vt:lpstr>
      <vt:lpstr>Channel_Chart</vt:lpstr>
      <vt:lpstr>'Channel_1-001'!Print_Titles</vt:lpstr>
      <vt:lpstr>Info!Print_Titles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chenc</cp:lastModifiedBy>
  <dcterms:created xsi:type="dcterms:W3CDTF">2022-08-25T06:26:06Z</dcterms:created>
  <dcterms:modified xsi:type="dcterms:W3CDTF">2022-09-06T06:09:29Z</dcterms:modified>
</cp:coreProperties>
</file>